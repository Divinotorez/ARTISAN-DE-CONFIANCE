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drawings/drawing7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8b2e66e1803f79a/Bureau/Alternance Préparation/"/>
    </mc:Choice>
  </mc:AlternateContent>
  <xr:revisionPtr revIDLastSave="15458" documentId="8_{83F3E33E-4CD1-4E60-8EC1-5887C79145CB}" xr6:coauthVersionLast="47" xr6:coauthVersionMax="47" xr10:uidLastSave="{ECE300E3-A149-474B-A607-1483A7ADBA35}"/>
  <bookViews>
    <workbookView xWindow="-108" yWindow="-108" windowWidth="23256" windowHeight="12456" xr2:uid="{F999738C-A80C-4FA4-97F2-8E722568A310}"/>
  </bookViews>
  <sheets>
    <sheet name="Menu" sheetId="1" r:id="rId1"/>
    <sheet name="Artisan" sheetId="4" r:id="rId2"/>
    <sheet name="Fournisseur" sheetId="5" r:id="rId3"/>
    <sheet name="Client" sheetId="7" r:id="rId4"/>
    <sheet name="Commandes" sheetId="8" r:id="rId5"/>
    <sheet name="stock" sheetId="6" r:id="rId6"/>
    <sheet name="Tableau de bord" sheetId="9" r:id="rId7"/>
    <sheet name="Calcul &amp; TCD" sheetId="11" r:id="rId8"/>
  </sheets>
  <definedNames>
    <definedName name="_xlcn.WorksheetConnection_Artisandeconfiance.xlsmtblCATravaux1" hidden="1">tblCATravaux[]</definedName>
    <definedName name="_xlcn.WorksheetConnection_Artisandeconfiance.xlsmtblDashboardCA1" hidden="1">tblDashboardCA[]</definedName>
    <definedName name="Segment_Année_date___année">#N/A</definedName>
  </definedNames>
  <calcPr calcId="191029"/>
  <pivotCaches>
    <pivotCache cacheId="758" r:id="rId9"/>
    <pivotCache cacheId="761" r:id="rId10"/>
    <pivotCache cacheId="764" r:id="rId11"/>
    <pivotCache cacheId="767" r:id="rId12"/>
  </pivotCaches>
  <extLst>
    <ext xmlns:x14="http://schemas.microsoft.com/office/spreadsheetml/2009/9/main" uri="{876F7934-8845-4945-9796-88D515C7AA90}">
      <x14:pivotCaches>
        <pivotCache cacheId="565" r:id="rId13"/>
      </x14:pivotCaches>
    </ex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DashboardCA" name="tblDashboardCA" connection="WorksheetConnection_Artisan de confiance.xlsm!tblDashboardCA"/>
          <x15:modelTable id="tblCATravaux" name="tblCATravaux" connection="WorksheetConnection_Artisan de confiance.xlsm!tblCATravaux"/>
        </x15:modelTables>
        <x15:modelRelationships>
          <x15:modelRelationship fromTable="tblCATravaux" fromColumn="Année(date) (année)" toTable="tblDashboardCA" toColumn="Année(date) (année)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lDashboardCA" columnName="Année(date)" columnId="Année(date)">
                <x16:calculatedTimeColumn columnName="Année(date) (année)" columnId="Année(date) (année)" contentType="years" isSelected="1"/>
                <x16:calculatedTimeColumn columnName="Année(date) (trimestre)" columnId="Année(date) (trimestre)" contentType="quarters" isSelected="1"/>
                <x16:calculatedTimeColumn columnName="Année(date) (index des mois)" columnId="Année(date) (index des mois)" contentType="monthsindex" isSelected="1"/>
                <x16:calculatedTimeColumn columnName="Année(date) (mois)" columnId="Année(date) (mois)" contentType="months" isSelected="1"/>
              </x16:modelTimeGrouping>
              <x16:modelTimeGrouping tableName="tblCATravaux" columnName="Année(date)" columnId="Année(date)">
                <x16:calculatedTimeColumn columnName="Année(date) (année)" columnId="Année(date) (année)" contentType="years" isSelected="1"/>
                <x16:calculatedTimeColumn columnName="Année(date) (trimestre)" columnId="Année(date) (trimestre)" contentType="quarters" isSelected="1"/>
                <x16:calculatedTimeColumn columnName="Année(date) (index des mois)" columnId="Année(date) (index des mois)" contentType="monthsindex" isSelected="1"/>
                <x16:calculatedTimeColumn columnName="Année(date) (mois)" columnId="Année(date)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6" i="11" l="1"/>
  <c r="L7" i="11"/>
  <c r="L8" i="11"/>
  <c r="L9" i="11"/>
  <c r="L10" i="11"/>
  <c r="L11" i="11"/>
  <c r="L12" i="11"/>
  <c r="L13" i="11"/>
  <c r="L14" i="11"/>
  <c r="L15" i="11"/>
  <c r="L16" i="11"/>
  <c r="L17" i="11"/>
  <c r="E6" i="11"/>
  <c r="E7" i="11"/>
  <c r="E8" i="11"/>
  <c r="E9" i="11"/>
  <c r="E10" i="11"/>
  <c r="X13" i="11"/>
  <c r="Z13" i="11"/>
  <c r="V1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D8010F-0DBA-4F22-AC70-B467ADCF2387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7118149-0030-4105-A098-09483E71C31E}" name="WorksheetConnection_Artisan de confiance.xlsm!tblCATravaux" type="102" refreshedVersion="8" minRefreshableVersion="5">
    <extLst>
      <ext xmlns:x15="http://schemas.microsoft.com/office/spreadsheetml/2010/11/main" uri="{DE250136-89BD-433C-8126-D09CA5730AF9}">
        <x15:connection id="tblCATravaux" autoDelete="1">
          <x15:rangePr sourceName="_xlcn.WorksheetConnection_Artisandeconfiance.xlsmtblCATravaux1"/>
        </x15:connection>
      </ext>
    </extLst>
  </connection>
  <connection id="3" xr16:uid="{F982D2A5-BF03-403F-A0E5-C042B07670C1}" name="WorksheetConnection_Artisan de confiance.xlsm!tblDashboardCA" type="102" refreshedVersion="8" minRefreshableVersion="5">
    <extLst>
      <ext xmlns:x15="http://schemas.microsoft.com/office/spreadsheetml/2010/11/main" uri="{DE250136-89BD-433C-8126-D09CA5730AF9}">
        <x15:connection id="tblDashboardCA" autoDelete="1">
          <x15:rangePr sourceName="_xlcn.WorksheetConnection_Artisandeconfiance.xlsmtblDashboardCA1"/>
        </x15:connection>
      </ext>
    </extLst>
  </connection>
</connections>
</file>

<file path=xl/sharedStrings.xml><?xml version="1.0" encoding="utf-8"?>
<sst xmlns="http://schemas.openxmlformats.org/spreadsheetml/2006/main" count="228" uniqueCount="126">
  <si>
    <t>ID</t>
  </si>
  <si>
    <t>NOM</t>
  </si>
  <si>
    <t>SPECIALITE</t>
  </si>
  <si>
    <t>PAYS</t>
  </si>
  <si>
    <t>REGION</t>
  </si>
  <si>
    <t>TELEPHONE</t>
  </si>
  <si>
    <t>Artisan</t>
  </si>
  <si>
    <t>Pays</t>
  </si>
  <si>
    <t>Région</t>
  </si>
  <si>
    <t>PRODUIT</t>
  </si>
  <si>
    <t>FOURNISSEUR</t>
  </si>
  <si>
    <t>STOCK</t>
  </si>
  <si>
    <t>Statut</t>
  </si>
  <si>
    <t>Nom</t>
  </si>
  <si>
    <t>Prenom</t>
  </si>
  <si>
    <t>Téléphone</t>
  </si>
  <si>
    <t>Email</t>
  </si>
  <si>
    <t>Produit</t>
  </si>
  <si>
    <t xml:space="preserve">Nom </t>
  </si>
  <si>
    <t>Quantité</t>
  </si>
  <si>
    <t>Date</t>
  </si>
  <si>
    <t xml:space="preserve">Artisan </t>
  </si>
  <si>
    <t>Etat de stock</t>
  </si>
  <si>
    <t>Type de travaux</t>
  </si>
  <si>
    <t>Prix moyen</t>
  </si>
  <si>
    <t>Numéro commande</t>
  </si>
  <si>
    <t>Prénom</t>
  </si>
  <si>
    <t>Date commande</t>
  </si>
  <si>
    <t>Numéro facture</t>
  </si>
  <si>
    <t>Montant total</t>
  </si>
  <si>
    <t>Mode paiement</t>
  </si>
  <si>
    <t>N° commande</t>
  </si>
  <si>
    <t>Nom client</t>
  </si>
  <si>
    <t>Prénom client</t>
  </si>
  <si>
    <t>Martin Dupont</t>
  </si>
  <si>
    <t>Peinture blanche</t>
  </si>
  <si>
    <t>rupture_de_stock</t>
  </si>
  <si>
    <t>Nicolas Garcia</t>
  </si>
  <si>
    <t>disponible</t>
  </si>
  <si>
    <t>Carlos Martinez</t>
  </si>
  <si>
    <t>Paul Fischer</t>
  </si>
  <si>
    <t>Armand Tchoumi</t>
  </si>
  <si>
    <t>Tuyau PVC</t>
  </si>
  <si>
    <t>Antoine Blanc</t>
  </si>
  <si>
    <t>Hans Müller</t>
  </si>
  <si>
    <t>Marc Dubois</t>
  </si>
  <si>
    <t>Sophie Bernard</t>
  </si>
  <si>
    <t>Cable electrique</t>
  </si>
  <si>
    <t>Lucia Fernandez</t>
  </si>
  <si>
    <t>Anna Schmidt</t>
  </si>
  <si>
    <t>Julie Lambert</t>
  </si>
  <si>
    <t>Ciment</t>
  </si>
  <si>
    <t>Nathalie Essomba</t>
  </si>
  <si>
    <t>Emma Laurent</t>
  </si>
  <si>
    <t>Carrelage</t>
  </si>
  <si>
    <t>Marta Sanchez</t>
  </si>
  <si>
    <t>Sophie Klein</t>
  </si>
  <si>
    <t>Brigitte Ngo</t>
  </si>
  <si>
    <t>Olivier Martin</t>
  </si>
  <si>
    <t>Claire Robert</t>
  </si>
  <si>
    <t>Bois de construction</t>
  </si>
  <si>
    <t>Lukas Weber</t>
  </si>
  <si>
    <t>Thomas Petit</t>
  </si>
  <si>
    <t>Tuiles</t>
  </si>
  <si>
    <t>Pablo Torres</t>
  </si>
  <si>
    <t>Franck Mbarga</t>
  </si>
  <si>
    <t>Julien Faure</t>
  </si>
  <si>
    <t>Enduit</t>
  </si>
  <si>
    <t>Camille Roux</t>
  </si>
  <si>
    <t>Vis et chevilles</t>
  </si>
  <si>
    <t>Lucas Morel</t>
  </si>
  <si>
    <t>Placo</t>
  </si>
  <si>
    <t>Diego Romero</t>
  </si>
  <si>
    <t>Jean Mballa</t>
  </si>
  <si>
    <t xml:space="preserve">                                                            Tableau de bord de suivi - Artisan de confiance</t>
  </si>
  <si>
    <t>Suivi Opérationnel</t>
  </si>
  <si>
    <t>Nombre de commande en cours</t>
  </si>
  <si>
    <t>Nombre de commande se terminant dans le mois</t>
  </si>
  <si>
    <t>Indice Qualité délais(%)</t>
  </si>
  <si>
    <t>Indice Qualité commande(%)</t>
  </si>
  <si>
    <t>Indicateur Qualité délais(respect de délais%)</t>
  </si>
  <si>
    <t>Indicateur Qualité de Commande(note)</t>
  </si>
  <si>
    <t>Commande en retard</t>
  </si>
  <si>
    <t>Année</t>
  </si>
  <si>
    <t>CA</t>
  </si>
  <si>
    <t>CA N-1</t>
  </si>
  <si>
    <t>Évolution</t>
  </si>
  <si>
    <t>CA urgent</t>
  </si>
  <si>
    <t>Part CA</t>
  </si>
  <si>
    <t>CA type travaux</t>
  </si>
  <si>
    <t>Plomberie</t>
  </si>
  <si>
    <t>Climatisation</t>
  </si>
  <si>
    <t>Electricite</t>
  </si>
  <si>
    <t>Maconnerie</t>
  </si>
  <si>
    <t>Menuiserie</t>
  </si>
  <si>
    <t>Peinture</t>
  </si>
  <si>
    <t>Toiture</t>
  </si>
  <si>
    <t>Travaux terminés</t>
  </si>
  <si>
    <t>Occitanie</t>
  </si>
  <si>
    <t>Satisfaction</t>
  </si>
  <si>
    <t>Pourcentage</t>
  </si>
  <si>
    <t>Satisfaits</t>
  </si>
  <si>
    <t>Insatisfaits</t>
  </si>
  <si>
    <t>Cause de retard</t>
  </si>
  <si>
    <t>Retard fournisseur</t>
  </si>
  <si>
    <t>Mauvaise météo</t>
  </si>
  <si>
    <t>Manque de matériaux</t>
  </si>
  <si>
    <t>Indisponibilité artisan</t>
  </si>
  <si>
    <t>Performance Comerciale</t>
  </si>
  <si>
    <t>Somme de CA</t>
  </si>
  <si>
    <t>Année(date)</t>
  </si>
  <si>
    <t>Total général</t>
  </si>
  <si>
    <t>2022</t>
  </si>
  <si>
    <t>2023</t>
  </si>
  <si>
    <t>2024</t>
  </si>
  <si>
    <t>2025</t>
  </si>
  <si>
    <t>2026</t>
  </si>
  <si>
    <t>Étiquettes de lignes</t>
  </si>
  <si>
    <t>Somme de Évolution</t>
  </si>
  <si>
    <t>Somme de Part CA</t>
  </si>
  <si>
    <t>Somme de CA type travaux</t>
  </si>
  <si>
    <t>²</t>
  </si>
  <si>
    <t>KPI de suivi opérationnel</t>
  </si>
  <si>
    <t>KPI performance commercial</t>
  </si>
  <si>
    <t>KPI Satisfaction Client</t>
  </si>
  <si>
    <t>TCD pour performance Commercial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</si>
</sst>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8" formatCode="_-* #,##0.00\ [$€-40C]_-;\-* #,##0.00\ [$€-40C]_-;_-* &quot;-&quot;??\ [$€-40C]_-;_-@_-"/>
  </numFmts>
  <fonts count="1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/>
        </stop>
        <stop position="1">
          <color theme="5" tint="0.80001220740379042"/>
        </stop>
      </gradientFill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5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3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0" fontId="0" fillId="3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6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6" borderId="0" xfId="0" applyFont="1" applyFill="1"/>
    <xf numFmtId="2" fontId="7" fillId="6" borderId="0" xfId="0" applyNumberFormat="1" applyFont="1" applyFill="1"/>
    <xf numFmtId="0" fontId="0" fillId="7" borderId="0" xfId="0" applyFill="1"/>
    <xf numFmtId="2" fontId="0" fillId="7" borderId="0" xfId="0" applyNumberFormat="1" applyFill="1"/>
    <xf numFmtId="0" fontId="6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 wrapText="1"/>
    </xf>
    <xf numFmtId="168" fontId="2" fillId="9" borderId="0" xfId="0" applyNumberFormat="1" applyFont="1" applyFill="1" applyAlignment="1">
      <alignment horizontal="center" vertical="center" wrapText="1"/>
    </xf>
    <xf numFmtId="0" fontId="2" fillId="9" borderId="0" xfId="0" applyFont="1" applyFill="1" applyAlignment="1">
      <alignment horizontal="right" vertical="center" wrapText="1"/>
    </xf>
    <xf numFmtId="14" fontId="2" fillId="9" borderId="0" xfId="0" applyNumberFormat="1" applyFont="1" applyFill="1" applyAlignment="1">
      <alignment horizontal="center" vertical="center" wrapText="1"/>
    </xf>
    <xf numFmtId="2" fontId="2" fillId="9" borderId="0" xfId="0" applyNumberFormat="1" applyFont="1" applyFill="1" applyAlignment="1">
      <alignment horizontal="center" vertical="center" wrapText="1"/>
    </xf>
    <xf numFmtId="0" fontId="0" fillId="9" borderId="0" xfId="0" applyFill="1"/>
    <xf numFmtId="0" fontId="6" fillId="10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2" fillId="11" borderId="0" xfId="0" applyFont="1" applyFill="1" applyAlignment="1">
      <alignment horizontal="right" vertical="center" wrapText="1"/>
    </xf>
    <xf numFmtId="0" fontId="2" fillId="11" borderId="0" xfId="0" applyFont="1" applyFill="1" applyAlignment="1">
      <alignment vertical="center" wrapText="1"/>
    </xf>
    <xf numFmtId="2" fontId="2" fillId="11" borderId="0" xfId="0" applyNumberFormat="1" applyFont="1" applyFill="1" applyAlignment="1">
      <alignment horizontal="right" vertical="center" wrapText="1"/>
    </xf>
    <xf numFmtId="9" fontId="2" fillId="11" borderId="0" xfId="1" applyFont="1" applyFill="1" applyAlignment="1">
      <alignment horizontal="right" vertical="center" wrapText="1"/>
    </xf>
    <xf numFmtId="0" fontId="0" fillId="11" borderId="0" xfId="0" applyFill="1" applyAlignment="1">
      <alignment vertical="center" wrapText="1"/>
    </xf>
    <xf numFmtId="0" fontId="0" fillId="11" borderId="0" xfId="0" applyFill="1" applyAlignment="1">
      <alignment horizontal="right" vertical="center" wrapText="1"/>
    </xf>
    <xf numFmtId="0" fontId="0" fillId="11" borderId="0" xfId="0" applyFill="1"/>
    <xf numFmtId="0" fontId="6" fillId="12" borderId="0" xfId="0" applyFont="1" applyFill="1" applyAlignment="1">
      <alignment horizontal="center" vertical="center"/>
    </xf>
    <xf numFmtId="0" fontId="0" fillId="13" borderId="0" xfId="0" applyFill="1"/>
    <xf numFmtId="44" fontId="0" fillId="13" borderId="0" xfId="0" applyNumberFormat="1" applyFill="1"/>
    <xf numFmtId="0" fontId="0" fillId="13" borderId="0" xfId="0" applyFill="1" applyAlignment="1">
      <alignment horizontal="left"/>
    </xf>
    <xf numFmtId="0" fontId="0" fillId="13" borderId="0" xfId="0" applyNumberFormat="1" applyFill="1"/>
    <xf numFmtId="0" fontId="0" fillId="14" borderId="0" xfId="0" applyFill="1"/>
    <xf numFmtId="0" fontId="0" fillId="15" borderId="0" xfId="0" applyFill="1"/>
    <xf numFmtId="0" fontId="0" fillId="16" borderId="1" xfId="0" applyFont="1" applyFill="1" applyBorder="1"/>
    <xf numFmtId="0" fontId="0" fillId="16" borderId="2" xfId="0" applyFont="1" applyFill="1" applyBorder="1"/>
    <xf numFmtId="0" fontId="0" fillId="17" borderId="0" xfId="0" applyFill="1"/>
    <xf numFmtId="0" fontId="0" fillId="18" borderId="0" xfId="0" applyFill="1"/>
    <xf numFmtId="0" fontId="8" fillId="18" borderId="0" xfId="0" applyFont="1" applyFill="1"/>
    <xf numFmtId="0" fontId="4" fillId="19" borderId="0" xfId="0" applyFont="1" applyFill="1"/>
    <xf numFmtId="0" fontId="9" fillId="14" borderId="0" xfId="0" applyFont="1" applyFill="1"/>
    <xf numFmtId="0" fontId="0" fillId="20" borderId="0" xfId="0" applyFill="1"/>
    <xf numFmtId="0" fontId="2" fillId="21" borderId="0" xfId="0" applyFont="1" applyFill="1" applyAlignment="1">
      <alignment horizontal="center" vertical="center" wrapText="1"/>
    </xf>
    <xf numFmtId="14" fontId="2" fillId="21" borderId="0" xfId="0" applyNumberFormat="1" applyFont="1" applyFill="1" applyAlignment="1">
      <alignment horizontal="center" vertical="center" wrapText="1"/>
    </xf>
    <xf numFmtId="0" fontId="0" fillId="21" borderId="0" xfId="0" applyFill="1"/>
    <xf numFmtId="0" fontId="2" fillId="8" borderId="0" xfId="0" applyFont="1" applyFill="1" applyAlignment="1">
      <alignment horizontal="center" vertical="center" wrapText="1"/>
    </xf>
    <xf numFmtId="0" fontId="0" fillId="8" borderId="0" xfId="0" applyFill="1"/>
    <xf numFmtId="0" fontId="2" fillId="12" borderId="0" xfId="0" applyFont="1" applyFill="1" applyAlignment="1">
      <alignment horizontal="center" vertical="center" wrapText="1"/>
    </xf>
    <xf numFmtId="0" fontId="0" fillId="12" borderId="0" xfId="0" applyFill="1"/>
    <xf numFmtId="0" fontId="2" fillId="22" borderId="0" xfId="0" applyFont="1" applyFill="1"/>
    <xf numFmtId="0" fontId="0" fillId="23" borderId="0" xfId="0" applyFill="1"/>
    <xf numFmtId="0" fontId="5" fillId="4" borderId="0" xfId="0" applyFont="1" applyFill="1" applyAlignment="1">
      <alignment horizontal="left"/>
    </xf>
    <xf numFmtId="0" fontId="0" fillId="24" borderId="0" xfId="0" applyFill="1"/>
    <xf numFmtId="0" fontId="0" fillId="25" borderId="0" xfId="0" applyFill="1"/>
    <xf numFmtId="14" fontId="0" fillId="25" borderId="0" xfId="0" applyNumberFormat="1" applyFill="1"/>
    <xf numFmtId="0" fontId="0" fillId="26" borderId="0" xfId="0" applyFill="1"/>
    <xf numFmtId="0" fontId="4" fillId="26" borderId="0" xfId="0" applyFont="1" applyFill="1"/>
    <xf numFmtId="0" fontId="0" fillId="26" borderId="3" xfId="0" applyFill="1" applyBorder="1"/>
    <xf numFmtId="0" fontId="0" fillId="26" borderId="4" xfId="0" applyFill="1" applyBorder="1"/>
    <xf numFmtId="0" fontId="4" fillId="26" borderId="5" xfId="0" applyFont="1" applyFill="1" applyBorder="1"/>
  </cellXfs>
  <cellStyles count="2">
    <cellStyle name="Normal" xfId="0" builtinId="0"/>
    <cellStyle name="Pourcentage" xfId="1" builtinId="5"/>
  </cellStyles>
  <dxfs count="126"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ont>
        <b/>
      </font>
      <fill>
        <patternFill patternType="solid">
          <fgColor indexed="64"/>
          <bgColor theme="8" tint="-0.499984740745262"/>
        </patternFill>
      </fill>
    </dxf>
    <dxf>
      <font>
        <b/>
      </font>
      <fill>
        <patternFill patternType="solid">
          <fgColor indexed="64"/>
          <bgColor theme="8" tint="-0.499984740745262"/>
        </patternFill>
      </fill>
    </dxf>
    <dxf>
      <font>
        <b/>
      </font>
      <fill>
        <patternFill patternType="solid">
          <fgColor indexed="64"/>
          <bgColor theme="8" tint="-0.499984740745262"/>
        </patternFill>
      </fill>
    </dxf>
    <dxf>
      <font>
        <b/>
      </font>
      <fill>
        <patternFill patternType="solid">
          <fgColor indexed="64"/>
          <bgColor theme="8" tint="-0.499984740745262"/>
        </patternFill>
      </fill>
    </dxf>
    <dxf>
      <font>
        <b/>
      </font>
      <fill>
        <patternFill patternType="solid">
          <fgColor indexed="64"/>
          <bgColor theme="8" tint="-0.499984740745262"/>
        </patternFill>
      </fill>
    </dxf>
    <dxf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9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5" tint="-0.499984740745262"/>
        </patternFill>
      </fill>
    </dxf>
    <dxf>
      <fill>
        <patternFill patternType="solid">
          <fgColor indexed="64"/>
          <bgColor theme="5" tint="-0.499984740745262"/>
        </patternFill>
      </fill>
    </dxf>
    <dxf>
      <fill>
        <patternFill patternType="solid">
          <fgColor indexed="64"/>
          <bgColor theme="5" tint="-0.499984740745262"/>
        </patternFill>
      </fill>
    </dxf>
    <dxf>
      <fill>
        <patternFill patternType="solid">
          <fgColor indexed="64"/>
          <bgColor theme="5" tint="-0.499984740745262"/>
        </patternFill>
      </fill>
    </dxf>
    <dxf>
      <fill>
        <patternFill patternType="solid">
          <fgColor indexed="64"/>
          <bgColor theme="5" tint="-0.499984740745262"/>
        </patternFill>
      </fill>
    </dxf>
    <dxf>
      <fill>
        <patternFill patternType="solid">
          <fgColor indexed="64"/>
          <bgColor theme="5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</dxf>
    <dxf>
      <fill>
        <patternFill patternType="solid">
          <fgColor indexed="64"/>
          <bgColor theme="3" tint="0.749992370372631"/>
        </patternFill>
      </fill>
    </dxf>
    <dxf>
      <fill>
        <patternFill patternType="solid">
          <fgColor indexed="64"/>
          <bgColor theme="3" tint="0.749992370372631"/>
        </patternFill>
      </fill>
    </dxf>
    <dxf>
      <fill>
        <patternFill patternType="solid">
          <fgColor indexed="64"/>
          <bgColor theme="3" tint="0.749992370372631"/>
        </patternFill>
      </fill>
    </dxf>
    <dxf>
      <fill>
        <patternFill patternType="solid">
          <fgColor indexed="64"/>
          <bgColor theme="3" tint="0.749992370372631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5" tint="0.79998168889431442"/>
          <bgColor theme="5"/>
        </patternFill>
      </fill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5" tint="0.79998168889431442"/>
          <bgColor theme="5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5" tint="0.79998168889431442"/>
          <bgColor theme="5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5" tint="0.79998168889431442"/>
          <bgColor theme="5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5" tint="0.79998168889431442"/>
          <bgColor theme="5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>
          <bgColor theme="5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168" formatCode="_-* #,##0.00\ [$€-40C]_-;\-* #,##0.00\ [$€-40C]_-;_-* &quot;-&quot;??\ [$€-40C]_-;_-@_-"/>
      <fill>
        <patternFill patternType="solid">
          <fgColor indexed="64"/>
          <bgColor theme="6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830339321357279E-2"/>
          <c:y val="0.11044633571746929"/>
          <c:w val="0.38870246085011184"/>
          <c:h val="0.7595628415300546"/>
        </c:manualLayout>
      </c:layout>
      <c:pieChart>
        <c:varyColors val="1"/>
        <c:ser>
          <c:idx val="0"/>
          <c:order val="0"/>
          <c:tx>
            <c:strRef>
              <c:f>'Calcul &amp; TCD'!$R$5</c:f>
              <c:strCache>
                <c:ptCount val="1"/>
                <c:pt idx="0">
                  <c:v>Pourcentage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F9C-48D3-AC1D-6CCF9099F1E1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F9C-48D3-AC1D-6CCF9099F1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 &amp; TCD'!$Q$6:$Q$7</c:f>
              <c:strCache>
                <c:ptCount val="2"/>
                <c:pt idx="0">
                  <c:v>Satisfaits</c:v>
                </c:pt>
                <c:pt idx="1">
                  <c:v>Insatisfaits</c:v>
                </c:pt>
              </c:strCache>
            </c:strRef>
          </c:cat>
          <c:val>
            <c:numRef>
              <c:f>'Calcul &amp; TCD'!$R$6:$R$7</c:f>
              <c:numCache>
                <c:formatCode>0.00</c:formatCode>
                <c:ptCount val="2"/>
                <c:pt idx="0">
                  <c:v>63.636360000000003</c:v>
                </c:pt>
                <c:pt idx="1">
                  <c:v>36.363639999999997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9C-48D3-AC1D-6CCF9099F1E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'Calcul &amp; TCD'!$T$5</c:f>
              <c:strCache>
                <c:ptCount val="1"/>
                <c:pt idx="0">
                  <c:v>Pourcentage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'Calcul &amp; TCD'!$S$6:$S$9</c:f>
              <c:strCache>
                <c:ptCount val="4"/>
                <c:pt idx="0">
                  <c:v>Retard fournisseur</c:v>
                </c:pt>
                <c:pt idx="1">
                  <c:v>Mauvaise météo</c:v>
                </c:pt>
                <c:pt idx="2">
                  <c:v>Manque de matériaux</c:v>
                </c:pt>
                <c:pt idx="3">
                  <c:v>Indisponibilité artisan</c:v>
                </c:pt>
              </c:strCache>
            </c:strRef>
          </c:cat>
          <c:val>
            <c:numRef>
              <c:f>'Calcul &amp; TCD'!$T$6:$T$9</c:f>
              <c:numCache>
                <c:formatCode>0%</c:formatCode>
                <c:ptCount val="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1-4B4D-B42A-B288636BE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68518127"/>
        <c:axId val="326025647"/>
      </c:barChart>
      <c:catAx>
        <c:axId val="968518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025647"/>
        <c:crosses val="autoZero"/>
        <c:auto val="1"/>
        <c:lblAlgn val="ctr"/>
        <c:lblOffset val="100"/>
        <c:noMultiLvlLbl val="0"/>
      </c:catAx>
      <c:valAx>
        <c:axId val="326025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ysClr val="windowText" lastClr="000000"/>
                  </a:solidFill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518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[Artisan de confiance.xlsm]Calcul &amp; TCD!Tableau croisé dynamique5</c:name>
    <c:fmtId val="8"/>
  </c:pivotSource>
  <c:chart>
    <c:autoTitleDeleted val="1"/>
    <c:pivotFmts>
      <c:pivotFmt>
        <c:idx val="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'Calcul &amp; TCD'!$V$5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'Calcul &amp; TCD'!$U$6:$U$11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'Calcul &amp; TCD'!$V$6:$V$11</c:f>
              <c:numCache>
                <c:formatCode>_("€"* #,##0.00_);_("€"* \(#,##0.00\);_("€"* "-"??_);_(@_)</c:formatCode>
                <c:ptCount val="5"/>
                <c:pt idx="0">
                  <c:v>950</c:v>
                </c:pt>
                <c:pt idx="1">
                  <c:v>4000</c:v>
                </c:pt>
                <c:pt idx="2">
                  <c:v>11200</c:v>
                </c:pt>
                <c:pt idx="3">
                  <c:v>59800</c:v>
                </c:pt>
                <c:pt idx="4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4-4A65-987D-522F49CBC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7646511"/>
        <c:axId val="1787383631"/>
      </c:lineChart>
      <c:catAx>
        <c:axId val="1787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383631"/>
        <c:crosses val="autoZero"/>
        <c:auto val="1"/>
        <c:lblAlgn val="ctr"/>
        <c:lblOffset val="100"/>
        <c:noMultiLvlLbl val="0"/>
      </c:catAx>
      <c:valAx>
        <c:axId val="178738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64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[Artisan de confiance.xlsm]Calcul &amp; TCD!Tableau croisé dynamique8</c:name>
    <c:fmtId val="7"/>
  </c:pivotSource>
  <c:chart>
    <c:autoTitleDeleted val="1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'Calcul &amp; TCD'!$AB$5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'Calcul &amp; TCD'!$AA$6:$AA$13</c:f>
              <c:strCache>
                <c:ptCount val="7"/>
                <c:pt idx="0">
                  <c:v>Climatisation</c:v>
                </c:pt>
                <c:pt idx="1">
                  <c:v>Electricite</c:v>
                </c:pt>
                <c:pt idx="2">
                  <c:v>Maconnerie</c:v>
                </c:pt>
                <c:pt idx="3">
                  <c:v>Menuiserie</c:v>
                </c:pt>
                <c:pt idx="4">
                  <c:v>Peinture</c:v>
                </c:pt>
                <c:pt idx="5">
                  <c:v>Plomberie</c:v>
                </c:pt>
                <c:pt idx="6">
                  <c:v>Toiture</c:v>
                </c:pt>
              </c:strCache>
            </c:strRef>
          </c:cat>
          <c:val>
            <c:numRef>
              <c:f>'Calcul &amp; TCD'!$AB$6:$AB$13</c:f>
              <c:numCache>
                <c:formatCode>_("€"* #,##0.00_);_("€"* \(#,##0.00\);_("€"* "-"??_);_(@_)</c:formatCode>
                <c:ptCount val="7"/>
                <c:pt idx="0">
                  <c:v>7100</c:v>
                </c:pt>
                <c:pt idx="1">
                  <c:v>1000</c:v>
                </c:pt>
                <c:pt idx="2">
                  <c:v>30400</c:v>
                </c:pt>
                <c:pt idx="3">
                  <c:v>5500</c:v>
                </c:pt>
                <c:pt idx="4">
                  <c:v>14000</c:v>
                </c:pt>
                <c:pt idx="5">
                  <c:v>1850</c:v>
                </c:pt>
                <c:pt idx="6">
                  <c:v>17000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F3-4DEA-9C0B-C734ADDC2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87698479"/>
        <c:axId val="325632687"/>
      </c:barChart>
      <c:catAx>
        <c:axId val="1787698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32687"/>
        <c:crosses val="autoZero"/>
        <c:auto val="1"/>
        <c:lblAlgn val="ctr"/>
        <c:lblOffset val="100"/>
        <c:noMultiLvlLbl val="0"/>
      </c:catAx>
      <c:valAx>
        <c:axId val="32563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69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6.svg"/><Relationship Id="rId18" Type="http://schemas.openxmlformats.org/officeDocument/2006/relationships/image" Target="../media/image11.png"/><Relationship Id="rId3" Type="http://schemas.openxmlformats.org/officeDocument/2006/relationships/hyperlink" Target="#'Tableau de bord'!A1"/><Relationship Id="rId21" Type="http://schemas.openxmlformats.org/officeDocument/2006/relationships/image" Target="../media/image14.svg"/><Relationship Id="rId7" Type="http://schemas.openxmlformats.org/officeDocument/2006/relationships/hyperlink" Target="#Client!A1"/><Relationship Id="rId12" Type="http://schemas.openxmlformats.org/officeDocument/2006/relationships/image" Target="../media/image5.png"/><Relationship Id="rId17" Type="http://schemas.openxmlformats.org/officeDocument/2006/relationships/image" Target="../media/image10.svg"/><Relationship Id="rId2" Type="http://schemas.openxmlformats.org/officeDocument/2006/relationships/hyperlink" Target="#Menu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hyperlink" Target="#Artisan!A1"/><Relationship Id="rId6" Type="http://schemas.openxmlformats.org/officeDocument/2006/relationships/hyperlink" Target="#Commandes!A1"/><Relationship Id="rId11" Type="http://schemas.openxmlformats.org/officeDocument/2006/relationships/image" Target="../media/image4.svg"/><Relationship Id="rId5" Type="http://schemas.openxmlformats.org/officeDocument/2006/relationships/hyperlink" Target="#Fournisseur!A1"/><Relationship Id="rId15" Type="http://schemas.openxmlformats.org/officeDocument/2006/relationships/image" Target="../media/image8.svg"/><Relationship Id="rId23" Type="http://schemas.openxmlformats.org/officeDocument/2006/relationships/image" Target="../media/image16.svg"/><Relationship Id="rId10" Type="http://schemas.openxmlformats.org/officeDocument/2006/relationships/image" Target="../media/image3.png"/><Relationship Id="rId19" Type="http://schemas.openxmlformats.org/officeDocument/2006/relationships/image" Target="../media/image12.svg"/><Relationship Id="rId4" Type="http://schemas.openxmlformats.org/officeDocument/2006/relationships/hyperlink" Target="#stock!A1"/><Relationship Id="rId9" Type="http://schemas.openxmlformats.org/officeDocument/2006/relationships/image" Target="../media/image2.svg"/><Relationship Id="rId14" Type="http://schemas.openxmlformats.org/officeDocument/2006/relationships/image" Target="../media/image7.png"/><Relationship Id="rId22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6.svg"/><Relationship Id="rId3" Type="http://schemas.openxmlformats.org/officeDocument/2006/relationships/hyperlink" Target="#Commandes!A1"/><Relationship Id="rId7" Type="http://schemas.openxmlformats.org/officeDocument/2006/relationships/image" Target="../media/image17.png"/><Relationship Id="rId12" Type="http://schemas.openxmlformats.org/officeDocument/2006/relationships/image" Target="../media/image22.svg"/><Relationship Id="rId17" Type="http://schemas.openxmlformats.org/officeDocument/2006/relationships/image" Target="../media/image25.png"/><Relationship Id="rId2" Type="http://schemas.openxmlformats.org/officeDocument/2006/relationships/hyperlink" Target="#Fournisseur!A1"/><Relationship Id="rId16" Type="http://schemas.openxmlformats.org/officeDocument/2006/relationships/image" Target="../media/image2.svg"/><Relationship Id="rId1" Type="http://schemas.openxmlformats.org/officeDocument/2006/relationships/hyperlink" Target="#'Tableau de bord'!A1"/><Relationship Id="rId6" Type="http://schemas.openxmlformats.org/officeDocument/2006/relationships/hyperlink" Target="#Menu!A1"/><Relationship Id="rId11" Type="http://schemas.openxmlformats.org/officeDocument/2006/relationships/image" Target="../media/image21.png"/><Relationship Id="rId5" Type="http://schemas.openxmlformats.org/officeDocument/2006/relationships/hyperlink" Target="#Artisan!A1"/><Relationship Id="rId15" Type="http://schemas.openxmlformats.org/officeDocument/2006/relationships/image" Target="../media/image1.png"/><Relationship Id="rId10" Type="http://schemas.openxmlformats.org/officeDocument/2006/relationships/image" Target="../media/image20.svg"/><Relationship Id="rId4" Type="http://schemas.openxmlformats.org/officeDocument/2006/relationships/hyperlink" Target="#stock!A1"/><Relationship Id="rId9" Type="http://schemas.openxmlformats.org/officeDocument/2006/relationships/image" Target="../media/image19.png"/><Relationship Id="rId14" Type="http://schemas.openxmlformats.org/officeDocument/2006/relationships/image" Target="../media/image2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9.svg"/><Relationship Id="rId3" Type="http://schemas.openxmlformats.org/officeDocument/2006/relationships/hyperlink" Target="#Commandes!A1"/><Relationship Id="rId7" Type="http://schemas.openxmlformats.org/officeDocument/2006/relationships/image" Target="../media/image17.png"/><Relationship Id="rId12" Type="http://schemas.openxmlformats.org/officeDocument/2006/relationships/image" Target="../media/image22.svg"/><Relationship Id="rId17" Type="http://schemas.openxmlformats.org/officeDocument/2006/relationships/image" Target="../media/image7.png"/><Relationship Id="rId2" Type="http://schemas.openxmlformats.org/officeDocument/2006/relationships/hyperlink" Target="#Fournisseur!A1"/><Relationship Id="rId16" Type="http://schemas.openxmlformats.org/officeDocument/2006/relationships/image" Target="../media/image28.svg"/><Relationship Id="rId1" Type="http://schemas.openxmlformats.org/officeDocument/2006/relationships/hyperlink" Target="#'Tableau de bord'!A1"/><Relationship Id="rId6" Type="http://schemas.openxmlformats.org/officeDocument/2006/relationships/hyperlink" Target="#Menu!A1"/><Relationship Id="rId11" Type="http://schemas.openxmlformats.org/officeDocument/2006/relationships/image" Target="../media/image21.png"/><Relationship Id="rId5" Type="http://schemas.openxmlformats.org/officeDocument/2006/relationships/hyperlink" Target="#Artisan!A1"/><Relationship Id="rId15" Type="http://schemas.openxmlformats.org/officeDocument/2006/relationships/image" Target="../media/image27.png"/><Relationship Id="rId10" Type="http://schemas.openxmlformats.org/officeDocument/2006/relationships/image" Target="../media/image20.svg"/><Relationship Id="rId4" Type="http://schemas.openxmlformats.org/officeDocument/2006/relationships/hyperlink" Target="#stock!A1"/><Relationship Id="rId9" Type="http://schemas.openxmlformats.org/officeDocument/2006/relationships/image" Target="../media/image19.png"/><Relationship Id="rId1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6.svg"/><Relationship Id="rId3" Type="http://schemas.openxmlformats.org/officeDocument/2006/relationships/hyperlink" Target="#Commandes!A1"/><Relationship Id="rId7" Type="http://schemas.openxmlformats.org/officeDocument/2006/relationships/image" Target="../media/image17.png"/><Relationship Id="rId12" Type="http://schemas.openxmlformats.org/officeDocument/2006/relationships/image" Target="../media/image22.svg"/><Relationship Id="rId17" Type="http://schemas.openxmlformats.org/officeDocument/2006/relationships/image" Target="../media/image25.png"/><Relationship Id="rId2" Type="http://schemas.openxmlformats.org/officeDocument/2006/relationships/hyperlink" Target="#Fournisseur!A1"/><Relationship Id="rId16" Type="http://schemas.openxmlformats.org/officeDocument/2006/relationships/image" Target="../media/image28.svg"/><Relationship Id="rId1" Type="http://schemas.openxmlformats.org/officeDocument/2006/relationships/hyperlink" Target="#'Tableau de bord'!A1"/><Relationship Id="rId6" Type="http://schemas.openxmlformats.org/officeDocument/2006/relationships/hyperlink" Target="#Menu!A1"/><Relationship Id="rId11" Type="http://schemas.openxmlformats.org/officeDocument/2006/relationships/image" Target="../media/image21.png"/><Relationship Id="rId5" Type="http://schemas.openxmlformats.org/officeDocument/2006/relationships/hyperlink" Target="#Artisan!A1"/><Relationship Id="rId15" Type="http://schemas.openxmlformats.org/officeDocument/2006/relationships/image" Target="../media/image27.png"/><Relationship Id="rId10" Type="http://schemas.openxmlformats.org/officeDocument/2006/relationships/image" Target="../media/image20.svg"/><Relationship Id="rId4" Type="http://schemas.openxmlformats.org/officeDocument/2006/relationships/hyperlink" Target="#stock!A1"/><Relationship Id="rId9" Type="http://schemas.openxmlformats.org/officeDocument/2006/relationships/image" Target="../media/image19.png"/><Relationship Id="rId14" Type="http://schemas.openxmlformats.org/officeDocument/2006/relationships/image" Target="../media/image2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6.svg"/><Relationship Id="rId3" Type="http://schemas.openxmlformats.org/officeDocument/2006/relationships/hyperlink" Target="#Commandes!A1"/><Relationship Id="rId7" Type="http://schemas.openxmlformats.org/officeDocument/2006/relationships/image" Target="../media/image17.png"/><Relationship Id="rId12" Type="http://schemas.openxmlformats.org/officeDocument/2006/relationships/image" Target="../media/image30.svg"/><Relationship Id="rId17" Type="http://schemas.openxmlformats.org/officeDocument/2006/relationships/image" Target="../media/image25.png"/><Relationship Id="rId2" Type="http://schemas.openxmlformats.org/officeDocument/2006/relationships/hyperlink" Target="#Fournisseur!A1"/><Relationship Id="rId16" Type="http://schemas.openxmlformats.org/officeDocument/2006/relationships/image" Target="../media/image31.svg"/><Relationship Id="rId1" Type="http://schemas.openxmlformats.org/officeDocument/2006/relationships/hyperlink" Target="#'Tableau de bord'!A1"/><Relationship Id="rId6" Type="http://schemas.openxmlformats.org/officeDocument/2006/relationships/hyperlink" Target="#Menu!A1"/><Relationship Id="rId11" Type="http://schemas.openxmlformats.org/officeDocument/2006/relationships/image" Target="../media/image5.png"/><Relationship Id="rId5" Type="http://schemas.openxmlformats.org/officeDocument/2006/relationships/hyperlink" Target="#Artisan!A1"/><Relationship Id="rId15" Type="http://schemas.openxmlformats.org/officeDocument/2006/relationships/image" Target="../media/image27.png"/><Relationship Id="rId10" Type="http://schemas.openxmlformats.org/officeDocument/2006/relationships/image" Target="../media/image20.svg"/><Relationship Id="rId4" Type="http://schemas.openxmlformats.org/officeDocument/2006/relationships/hyperlink" Target="#stock!A1"/><Relationship Id="rId9" Type="http://schemas.openxmlformats.org/officeDocument/2006/relationships/image" Target="../media/image19.png"/><Relationship Id="rId14" Type="http://schemas.openxmlformats.org/officeDocument/2006/relationships/image" Target="../media/image2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6.svg"/><Relationship Id="rId3" Type="http://schemas.openxmlformats.org/officeDocument/2006/relationships/hyperlink" Target="#Commandes!A1"/><Relationship Id="rId7" Type="http://schemas.openxmlformats.org/officeDocument/2006/relationships/image" Target="../media/image17.png"/><Relationship Id="rId12" Type="http://schemas.openxmlformats.org/officeDocument/2006/relationships/image" Target="../media/image22.svg"/><Relationship Id="rId17" Type="http://schemas.openxmlformats.org/officeDocument/2006/relationships/image" Target="../media/image25.png"/><Relationship Id="rId2" Type="http://schemas.openxmlformats.org/officeDocument/2006/relationships/hyperlink" Target="#Fournisseur!A1"/><Relationship Id="rId16" Type="http://schemas.openxmlformats.org/officeDocument/2006/relationships/image" Target="../media/image31.svg"/><Relationship Id="rId1" Type="http://schemas.openxmlformats.org/officeDocument/2006/relationships/hyperlink" Target="#'Tableau de bord'!A1"/><Relationship Id="rId6" Type="http://schemas.openxmlformats.org/officeDocument/2006/relationships/hyperlink" Target="#Menu!A1"/><Relationship Id="rId11" Type="http://schemas.openxmlformats.org/officeDocument/2006/relationships/image" Target="../media/image21.png"/><Relationship Id="rId5" Type="http://schemas.openxmlformats.org/officeDocument/2006/relationships/hyperlink" Target="#Artisan!A1"/><Relationship Id="rId15" Type="http://schemas.openxmlformats.org/officeDocument/2006/relationships/image" Target="../media/image27.png"/><Relationship Id="rId10" Type="http://schemas.openxmlformats.org/officeDocument/2006/relationships/image" Target="../media/image32.svg"/><Relationship Id="rId4" Type="http://schemas.openxmlformats.org/officeDocument/2006/relationships/hyperlink" Target="#stock!A1"/><Relationship Id="rId9" Type="http://schemas.openxmlformats.org/officeDocument/2006/relationships/image" Target="../media/image9.png"/><Relationship Id="rId14" Type="http://schemas.openxmlformats.org/officeDocument/2006/relationships/image" Target="../media/image24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svg"/><Relationship Id="rId13" Type="http://schemas.openxmlformats.org/officeDocument/2006/relationships/hyperlink" Target="#Artisan!A1"/><Relationship Id="rId3" Type="http://schemas.openxmlformats.org/officeDocument/2006/relationships/image" Target="../media/image33.png"/><Relationship Id="rId7" Type="http://schemas.openxmlformats.org/officeDocument/2006/relationships/image" Target="../media/image21.png"/><Relationship Id="rId12" Type="http://schemas.openxmlformats.org/officeDocument/2006/relationships/hyperlink" Target="#stock!A1"/><Relationship Id="rId2" Type="http://schemas.openxmlformats.org/officeDocument/2006/relationships/chart" Target="../charts/chart2.xml"/><Relationship Id="rId16" Type="http://schemas.openxmlformats.org/officeDocument/2006/relationships/image" Target="../media/image24.sv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hyperlink" Target="#Commandes!A1"/><Relationship Id="rId5" Type="http://schemas.openxmlformats.org/officeDocument/2006/relationships/chart" Target="../charts/chart3.xml"/><Relationship Id="rId15" Type="http://schemas.openxmlformats.org/officeDocument/2006/relationships/image" Target="../media/image23.png"/><Relationship Id="rId10" Type="http://schemas.openxmlformats.org/officeDocument/2006/relationships/hyperlink" Target="#Fournisseur!A1"/><Relationship Id="rId4" Type="http://schemas.microsoft.com/office/2007/relationships/hdphoto" Target="../media/hdphoto1.wdp"/><Relationship Id="rId9" Type="http://schemas.openxmlformats.org/officeDocument/2006/relationships/hyperlink" Target="#'Tableau de bord'!A1"/><Relationship Id="rId14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3</xdr:row>
      <xdr:rowOff>99060</xdr:rowOff>
    </xdr:from>
    <xdr:to>
      <xdr:col>6</xdr:col>
      <xdr:colOff>251460</xdr:colOff>
      <xdr:row>9</xdr:row>
      <xdr:rowOff>91440</xdr:rowOff>
    </xdr:to>
    <xdr:sp macro="" textlink="">
      <xdr:nvSpPr>
        <xdr:cNvPr id="3" name="Rectangle : coins arrondi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F5C957-5C4D-D6E4-33B7-6B6B1AE06913}"/>
            </a:ext>
          </a:extLst>
        </xdr:cNvPr>
        <xdr:cNvSpPr/>
      </xdr:nvSpPr>
      <xdr:spPr>
        <a:xfrm>
          <a:off x="3208020" y="647700"/>
          <a:ext cx="1798320" cy="1089660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419100</xdr:colOff>
      <xdr:row>11</xdr:row>
      <xdr:rowOff>106680</xdr:rowOff>
    </xdr:from>
    <xdr:to>
      <xdr:col>10</xdr:col>
      <xdr:colOff>632460</xdr:colOff>
      <xdr:row>17</xdr:row>
      <xdr:rowOff>99060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F6CB647-CC93-8795-45BD-A8A4379FE4EA}"/>
            </a:ext>
          </a:extLst>
        </xdr:cNvPr>
        <xdr:cNvSpPr/>
      </xdr:nvSpPr>
      <xdr:spPr>
        <a:xfrm>
          <a:off x="6758940" y="2118360"/>
          <a:ext cx="1798320" cy="1089660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                     </a:t>
          </a:r>
        </a:p>
      </xdr:txBody>
    </xdr:sp>
    <xdr:clientData/>
  </xdr:twoCellAnchor>
  <xdr:twoCellAnchor>
    <xdr:from>
      <xdr:col>12</xdr:col>
      <xdr:colOff>586740</xdr:colOff>
      <xdr:row>20</xdr:row>
      <xdr:rowOff>91440</xdr:rowOff>
    </xdr:from>
    <xdr:to>
      <xdr:col>15</xdr:col>
      <xdr:colOff>7620</xdr:colOff>
      <xdr:row>26</xdr:row>
      <xdr:rowOff>83820</xdr:rowOff>
    </xdr:to>
    <xdr:sp macro="" textlink="">
      <xdr:nvSpPr>
        <xdr:cNvPr id="5" name="Rectangle : coins arrondi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C6025F-7534-6289-0C89-FD1807DB6C83}"/>
            </a:ext>
          </a:extLst>
        </xdr:cNvPr>
        <xdr:cNvSpPr/>
      </xdr:nvSpPr>
      <xdr:spPr>
        <a:xfrm>
          <a:off x="10096500" y="3749040"/>
          <a:ext cx="1798320" cy="1089660"/>
        </a:xfrm>
        <a:prstGeom prst="roundRect">
          <a:avLst/>
        </a:prstGeom>
        <a:solidFill>
          <a:srgbClr val="00B0F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388620</xdr:colOff>
      <xdr:row>20</xdr:row>
      <xdr:rowOff>83820</xdr:rowOff>
    </xdr:from>
    <xdr:to>
      <xdr:col>10</xdr:col>
      <xdr:colOff>601980</xdr:colOff>
      <xdr:row>26</xdr:row>
      <xdr:rowOff>76200</xdr:rowOff>
    </xdr:to>
    <xdr:sp macro="" textlink="">
      <xdr:nvSpPr>
        <xdr:cNvPr id="6" name="Rectangle : coins arrondi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2C887F-F05C-25AD-C25E-C09587F640CF}"/>
            </a:ext>
          </a:extLst>
        </xdr:cNvPr>
        <xdr:cNvSpPr/>
      </xdr:nvSpPr>
      <xdr:spPr>
        <a:xfrm>
          <a:off x="6728460" y="3741420"/>
          <a:ext cx="1798320" cy="1089660"/>
        </a:xfrm>
        <a:prstGeom prst="roundRect">
          <a:avLst/>
        </a:prstGeom>
        <a:solidFill>
          <a:srgbClr val="FFC00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76200</xdr:colOff>
      <xdr:row>20</xdr:row>
      <xdr:rowOff>53340</xdr:rowOff>
    </xdr:from>
    <xdr:to>
      <xdr:col>6</xdr:col>
      <xdr:colOff>289560</xdr:colOff>
      <xdr:row>26</xdr:row>
      <xdr:rowOff>45720</xdr:rowOff>
    </xdr:to>
    <xdr:sp macro="" textlink="">
      <xdr:nvSpPr>
        <xdr:cNvPr id="7" name="Rectangle : coins arrondi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695DEB4-F759-98DA-F8CB-BDA7A99498DD}"/>
            </a:ext>
          </a:extLst>
        </xdr:cNvPr>
        <xdr:cNvSpPr/>
      </xdr:nvSpPr>
      <xdr:spPr>
        <a:xfrm>
          <a:off x="3246120" y="3710940"/>
          <a:ext cx="1798320" cy="1089660"/>
        </a:xfrm>
        <a:prstGeom prst="roundRect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731520</xdr:colOff>
      <xdr:row>3</xdr:row>
      <xdr:rowOff>137160</xdr:rowOff>
    </xdr:from>
    <xdr:to>
      <xdr:col>15</xdr:col>
      <xdr:colOff>152400</xdr:colOff>
      <xdr:row>9</xdr:row>
      <xdr:rowOff>129540</xdr:rowOff>
    </xdr:to>
    <xdr:sp macro="" textlink="">
      <xdr:nvSpPr>
        <xdr:cNvPr id="8" name="Rectangle : coins arrondi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54D86E3-0EB7-B6D5-00C2-9DA47BC955BC}"/>
            </a:ext>
          </a:extLst>
        </xdr:cNvPr>
        <xdr:cNvSpPr/>
      </xdr:nvSpPr>
      <xdr:spPr>
        <a:xfrm>
          <a:off x="10241280" y="685800"/>
          <a:ext cx="1798320" cy="108966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419100</xdr:colOff>
      <xdr:row>3</xdr:row>
      <xdr:rowOff>91440</xdr:rowOff>
    </xdr:from>
    <xdr:to>
      <xdr:col>10</xdr:col>
      <xdr:colOff>632460</xdr:colOff>
      <xdr:row>9</xdr:row>
      <xdr:rowOff>83820</xdr:rowOff>
    </xdr:to>
    <xdr:sp macro="" textlink="">
      <xdr:nvSpPr>
        <xdr:cNvPr id="9" name="Rectangle : coins arrondi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E5BA60D-6C0A-BE5E-D0D2-04F7F190DA46}"/>
            </a:ext>
          </a:extLst>
        </xdr:cNvPr>
        <xdr:cNvSpPr/>
      </xdr:nvSpPr>
      <xdr:spPr>
        <a:xfrm>
          <a:off x="6758940" y="640080"/>
          <a:ext cx="1798320" cy="108966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182880</xdr:colOff>
      <xdr:row>4</xdr:row>
      <xdr:rowOff>76200</xdr:rowOff>
    </xdr:from>
    <xdr:to>
      <xdr:col>4</xdr:col>
      <xdr:colOff>617220</xdr:colOff>
      <xdr:row>6</xdr:row>
      <xdr:rowOff>160020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12C2581A-C072-8C8F-FA32-9F9DDA2EE1CD}"/>
            </a:ext>
          </a:extLst>
        </xdr:cNvPr>
        <xdr:cNvSpPr/>
      </xdr:nvSpPr>
      <xdr:spPr>
        <a:xfrm>
          <a:off x="3352800" y="807720"/>
          <a:ext cx="434340" cy="44958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716280</xdr:colOff>
      <xdr:row>21</xdr:row>
      <xdr:rowOff>83820</xdr:rowOff>
    </xdr:from>
    <xdr:to>
      <xdr:col>13</xdr:col>
      <xdr:colOff>358140</xdr:colOff>
      <xdr:row>23</xdr:row>
      <xdr:rowOff>167640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15591EB7-1AC8-A1E6-FC4F-61E22C5D8260}"/>
            </a:ext>
          </a:extLst>
        </xdr:cNvPr>
        <xdr:cNvSpPr/>
      </xdr:nvSpPr>
      <xdr:spPr>
        <a:xfrm>
          <a:off x="10226040" y="3924300"/>
          <a:ext cx="434340" cy="44958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533400</xdr:colOff>
      <xdr:row>21</xdr:row>
      <xdr:rowOff>30480</xdr:rowOff>
    </xdr:from>
    <xdr:to>
      <xdr:col>9</xdr:col>
      <xdr:colOff>175260</xdr:colOff>
      <xdr:row>23</xdr:row>
      <xdr:rowOff>114300</xdr:rowOff>
    </xdr:to>
    <xdr:sp macro="" textlink="">
      <xdr:nvSpPr>
        <xdr:cNvPr id="14" name="Ellipse 13">
          <a:extLst>
            <a:ext uri="{FF2B5EF4-FFF2-40B4-BE49-F238E27FC236}">
              <a16:creationId xmlns:a16="http://schemas.microsoft.com/office/drawing/2014/main" id="{701AD5B6-54AE-AD61-CAA2-70433928EDD4}"/>
            </a:ext>
          </a:extLst>
        </xdr:cNvPr>
        <xdr:cNvSpPr/>
      </xdr:nvSpPr>
      <xdr:spPr>
        <a:xfrm>
          <a:off x="6873240" y="3870960"/>
          <a:ext cx="434340" cy="44958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205740</xdr:colOff>
      <xdr:row>21</xdr:row>
      <xdr:rowOff>7620</xdr:rowOff>
    </xdr:from>
    <xdr:to>
      <xdr:col>4</xdr:col>
      <xdr:colOff>640080</xdr:colOff>
      <xdr:row>23</xdr:row>
      <xdr:rowOff>91440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799C6695-B9BC-B705-C69D-13A512F89571}"/>
            </a:ext>
          </a:extLst>
        </xdr:cNvPr>
        <xdr:cNvSpPr/>
      </xdr:nvSpPr>
      <xdr:spPr>
        <a:xfrm>
          <a:off x="3375660" y="3848100"/>
          <a:ext cx="434340" cy="44958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30480</xdr:colOff>
      <xdr:row>4</xdr:row>
      <xdr:rowOff>45720</xdr:rowOff>
    </xdr:from>
    <xdr:to>
      <xdr:col>13</xdr:col>
      <xdr:colOff>464820</xdr:colOff>
      <xdr:row>6</xdr:row>
      <xdr:rowOff>129540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9D4551A3-2FAE-7FC8-2025-70C136CD6F01}"/>
            </a:ext>
          </a:extLst>
        </xdr:cNvPr>
        <xdr:cNvSpPr/>
      </xdr:nvSpPr>
      <xdr:spPr>
        <a:xfrm>
          <a:off x="10332720" y="777240"/>
          <a:ext cx="434340" cy="44958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579120</xdr:colOff>
      <xdr:row>4</xdr:row>
      <xdr:rowOff>53340</xdr:rowOff>
    </xdr:from>
    <xdr:to>
      <xdr:col>9</xdr:col>
      <xdr:colOff>220980</xdr:colOff>
      <xdr:row>6</xdr:row>
      <xdr:rowOff>137160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2A1BA1D3-F770-1E87-7F00-29DE687107EF}"/>
            </a:ext>
          </a:extLst>
        </xdr:cNvPr>
        <xdr:cNvSpPr/>
      </xdr:nvSpPr>
      <xdr:spPr>
        <a:xfrm>
          <a:off x="6918960" y="784860"/>
          <a:ext cx="434340" cy="44958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4</xdr:col>
      <xdr:colOff>182880</xdr:colOff>
      <xdr:row>4</xdr:row>
      <xdr:rowOff>76200</xdr:rowOff>
    </xdr:from>
    <xdr:to>
      <xdr:col>4</xdr:col>
      <xdr:colOff>617220</xdr:colOff>
      <xdr:row>6</xdr:row>
      <xdr:rowOff>144780</xdr:rowOff>
    </xdr:to>
    <xdr:pic>
      <xdr:nvPicPr>
        <xdr:cNvPr id="19" name="Graphique 18" descr="Homme ouvrier du bâtiment avec un remplissage uni">
          <a:extLst>
            <a:ext uri="{FF2B5EF4-FFF2-40B4-BE49-F238E27FC236}">
              <a16:creationId xmlns:a16="http://schemas.microsoft.com/office/drawing/2014/main" id="{6C9CEBB5-DD20-CAB1-F8C6-4BB61D614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352800" y="807720"/>
          <a:ext cx="434340" cy="434340"/>
        </a:xfrm>
        <a:prstGeom prst="rect">
          <a:avLst/>
        </a:prstGeom>
      </xdr:spPr>
    </xdr:pic>
    <xdr:clientData/>
  </xdr:twoCellAnchor>
  <xdr:twoCellAnchor editAs="oneCell">
    <xdr:from>
      <xdr:col>8</xdr:col>
      <xdr:colOff>632460</xdr:colOff>
      <xdr:row>4</xdr:row>
      <xdr:rowOff>129540</xdr:rowOff>
    </xdr:from>
    <xdr:to>
      <xdr:col>9</xdr:col>
      <xdr:colOff>175260</xdr:colOff>
      <xdr:row>6</xdr:row>
      <xdr:rowOff>99060</xdr:rowOff>
    </xdr:to>
    <xdr:pic>
      <xdr:nvPicPr>
        <xdr:cNvPr id="21" name="Graphique 20" descr="Public cible avec un remplissage uni">
          <a:extLst>
            <a:ext uri="{FF2B5EF4-FFF2-40B4-BE49-F238E27FC236}">
              <a16:creationId xmlns:a16="http://schemas.microsoft.com/office/drawing/2014/main" id="{2BCF6C49-EB32-69A8-41AC-5FD47CFBA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972300" y="861060"/>
          <a:ext cx="335280" cy="335280"/>
        </a:xfrm>
        <a:prstGeom prst="rect">
          <a:avLst/>
        </a:prstGeom>
      </xdr:spPr>
    </xdr:pic>
    <xdr:clientData/>
  </xdr:twoCellAnchor>
  <xdr:twoCellAnchor editAs="oneCell">
    <xdr:from>
      <xdr:col>13</xdr:col>
      <xdr:colOff>83820</xdr:colOff>
      <xdr:row>4</xdr:row>
      <xdr:rowOff>99060</xdr:rowOff>
    </xdr:from>
    <xdr:to>
      <xdr:col>13</xdr:col>
      <xdr:colOff>411480</xdr:colOff>
      <xdr:row>6</xdr:row>
      <xdr:rowOff>60960</xdr:rowOff>
    </xdr:to>
    <xdr:pic>
      <xdr:nvPicPr>
        <xdr:cNvPr id="23" name="Graphique 22" descr="Presse-papiers vérifié avec un remplissage uni">
          <a:extLst>
            <a:ext uri="{FF2B5EF4-FFF2-40B4-BE49-F238E27FC236}">
              <a16:creationId xmlns:a16="http://schemas.microsoft.com/office/drawing/2014/main" id="{DDFE1182-9EB0-7720-19C7-CBF795352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386060" y="830580"/>
          <a:ext cx="327660" cy="327660"/>
        </a:xfrm>
        <a:prstGeom prst="rect">
          <a:avLst/>
        </a:prstGeom>
      </xdr:spPr>
    </xdr:pic>
    <xdr:clientData/>
  </xdr:twoCellAnchor>
  <xdr:twoCellAnchor editAs="oneCell">
    <xdr:from>
      <xdr:col>4</xdr:col>
      <xdr:colOff>259080</xdr:colOff>
      <xdr:row>21</xdr:row>
      <xdr:rowOff>76200</xdr:rowOff>
    </xdr:from>
    <xdr:to>
      <xdr:col>4</xdr:col>
      <xdr:colOff>579120</xdr:colOff>
      <xdr:row>23</xdr:row>
      <xdr:rowOff>30480</xdr:rowOff>
    </xdr:to>
    <xdr:pic>
      <xdr:nvPicPr>
        <xdr:cNvPr id="25" name="Graphique 24" descr="Camion-benne avec un remplissage uni">
          <a:extLst>
            <a:ext uri="{FF2B5EF4-FFF2-40B4-BE49-F238E27FC236}">
              <a16:creationId xmlns:a16="http://schemas.microsoft.com/office/drawing/2014/main" id="{03131C5B-3069-DC71-D9AB-4C66CB120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429000" y="3916680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21</xdr:row>
      <xdr:rowOff>68580</xdr:rowOff>
    </xdr:from>
    <xdr:to>
      <xdr:col>9</xdr:col>
      <xdr:colOff>144780</xdr:colOff>
      <xdr:row>23</xdr:row>
      <xdr:rowOff>106680</xdr:rowOff>
    </xdr:to>
    <xdr:pic>
      <xdr:nvPicPr>
        <xdr:cNvPr id="27" name="Graphique 26" descr="Boîte avec un remplissage uni">
          <a:extLst>
            <a:ext uri="{FF2B5EF4-FFF2-40B4-BE49-F238E27FC236}">
              <a16:creationId xmlns:a16="http://schemas.microsoft.com/office/drawing/2014/main" id="{EB7A5A8B-0ABF-B444-5A90-1D4B8BF41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873240" y="3909060"/>
          <a:ext cx="403860" cy="403860"/>
        </a:xfrm>
        <a:prstGeom prst="rect">
          <a:avLst/>
        </a:prstGeom>
      </xdr:spPr>
    </xdr:pic>
    <xdr:clientData/>
  </xdr:twoCellAnchor>
  <xdr:twoCellAnchor editAs="oneCell">
    <xdr:from>
      <xdr:col>12</xdr:col>
      <xdr:colOff>784860</xdr:colOff>
      <xdr:row>21</xdr:row>
      <xdr:rowOff>175260</xdr:rowOff>
    </xdr:from>
    <xdr:to>
      <xdr:col>13</xdr:col>
      <xdr:colOff>266700</xdr:colOff>
      <xdr:row>23</xdr:row>
      <xdr:rowOff>83820</xdr:rowOff>
    </xdr:to>
    <xdr:pic>
      <xdr:nvPicPr>
        <xdr:cNvPr id="29" name="Graphique 28" descr="Signal avec un remplissage uni">
          <a:extLst>
            <a:ext uri="{FF2B5EF4-FFF2-40B4-BE49-F238E27FC236}">
              <a16:creationId xmlns:a16="http://schemas.microsoft.com/office/drawing/2014/main" id="{225244C6-52E4-7E8F-EECE-7CEAC63DB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0294620" y="401574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8</xdr:col>
      <xdr:colOff>502920</xdr:colOff>
      <xdr:row>12</xdr:row>
      <xdr:rowOff>160020</xdr:rowOff>
    </xdr:from>
    <xdr:to>
      <xdr:col>9</xdr:col>
      <xdr:colOff>175260</xdr:colOff>
      <xdr:row>15</xdr:row>
      <xdr:rowOff>76200</xdr:rowOff>
    </xdr:to>
    <xdr:pic>
      <xdr:nvPicPr>
        <xdr:cNvPr id="31" name="Graphique 30" descr="Logement avec un remplissage uni">
          <a:extLst>
            <a:ext uri="{FF2B5EF4-FFF2-40B4-BE49-F238E27FC236}">
              <a16:creationId xmlns:a16="http://schemas.microsoft.com/office/drawing/2014/main" id="{F85B7FDF-0987-36F2-DD64-499912FD4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842760" y="2354580"/>
          <a:ext cx="464820" cy="464820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13</xdr:row>
      <xdr:rowOff>7620</xdr:rowOff>
    </xdr:from>
    <xdr:to>
      <xdr:col>10</xdr:col>
      <xdr:colOff>358140</xdr:colOff>
      <xdr:row>15</xdr:row>
      <xdr:rowOff>114300</xdr:rowOff>
    </xdr:to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5C95FE73-04FE-C784-DAC2-3FBA79430AB0}"/>
            </a:ext>
          </a:extLst>
        </xdr:cNvPr>
        <xdr:cNvSpPr txBox="1"/>
      </xdr:nvSpPr>
      <xdr:spPr>
        <a:xfrm>
          <a:off x="7360920" y="2385060"/>
          <a:ext cx="92202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MENU</a:t>
          </a:r>
          <a:endParaRPr lang="en-GB" sz="1200" b="1"/>
        </a:p>
      </xdr:txBody>
    </xdr:sp>
    <xdr:clientData/>
  </xdr:twoCellAnchor>
  <xdr:twoCellAnchor>
    <xdr:from>
      <xdr:col>8</xdr:col>
      <xdr:colOff>419100</xdr:colOff>
      <xdr:row>7</xdr:row>
      <xdr:rowOff>22860</xdr:rowOff>
    </xdr:from>
    <xdr:to>
      <xdr:col>10</xdr:col>
      <xdr:colOff>647700</xdr:colOff>
      <xdr:row>9</xdr:row>
      <xdr:rowOff>137160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A9FD9F3D-C400-0E20-8ECD-F0AA7B195E22}"/>
            </a:ext>
          </a:extLst>
        </xdr:cNvPr>
        <xdr:cNvSpPr txBox="1"/>
      </xdr:nvSpPr>
      <xdr:spPr>
        <a:xfrm>
          <a:off x="6758940" y="1303020"/>
          <a:ext cx="181356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>
              <a:solidFill>
                <a:schemeClr val="bg1"/>
              </a:solidFill>
            </a:rPr>
            <a:t>Gérer les Client leurs Commandes et paiements </a:t>
          </a:r>
        </a:p>
      </xdr:txBody>
    </xdr:sp>
    <xdr:clientData/>
  </xdr:twoCellAnchor>
  <xdr:twoCellAnchor>
    <xdr:from>
      <xdr:col>9</xdr:col>
      <xdr:colOff>381000</xdr:colOff>
      <xdr:row>4</xdr:row>
      <xdr:rowOff>83820</xdr:rowOff>
    </xdr:from>
    <xdr:to>
      <xdr:col>10</xdr:col>
      <xdr:colOff>304800</xdr:colOff>
      <xdr:row>6</xdr:row>
      <xdr:rowOff>22860</xdr:rowOff>
    </xdr:to>
    <xdr:sp macro="" textlink="">
      <xdr:nvSpPr>
        <xdr:cNvPr id="36" name="ZoneTexte 35">
          <a:extLst>
            <a:ext uri="{FF2B5EF4-FFF2-40B4-BE49-F238E27FC236}">
              <a16:creationId xmlns:a16="http://schemas.microsoft.com/office/drawing/2014/main" id="{D69232D1-AA6D-6522-E2CA-8E4F1BCF044A}"/>
            </a:ext>
          </a:extLst>
        </xdr:cNvPr>
        <xdr:cNvSpPr txBox="1"/>
      </xdr:nvSpPr>
      <xdr:spPr>
        <a:xfrm>
          <a:off x="7513320" y="815340"/>
          <a:ext cx="71628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CLIENT</a:t>
          </a:r>
        </a:p>
      </xdr:txBody>
    </xdr:sp>
    <xdr:clientData/>
  </xdr:twoCellAnchor>
  <xdr:twoCellAnchor>
    <xdr:from>
      <xdr:col>4</xdr:col>
      <xdr:colOff>45720</xdr:colOff>
      <xdr:row>7</xdr:row>
      <xdr:rowOff>38100</xdr:rowOff>
    </xdr:from>
    <xdr:to>
      <xdr:col>6</xdr:col>
      <xdr:colOff>38100</xdr:colOff>
      <xdr:row>9</xdr:row>
      <xdr:rowOff>114300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F45A90B9-4478-764A-AD9B-62EB8FCBCACD}"/>
            </a:ext>
          </a:extLst>
        </xdr:cNvPr>
        <xdr:cNvSpPr txBox="1"/>
      </xdr:nvSpPr>
      <xdr:spPr>
        <a:xfrm>
          <a:off x="3215640" y="1318260"/>
          <a:ext cx="1577340" cy="441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>
              <a:solidFill>
                <a:schemeClr val="bg1"/>
              </a:solidFill>
            </a:rPr>
            <a:t>Gérer les artisans leurs servicex et disponibilités</a:t>
          </a:r>
        </a:p>
      </xdr:txBody>
    </xdr:sp>
    <xdr:clientData/>
  </xdr:twoCellAnchor>
  <xdr:twoCellAnchor>
    <xdr:from>
      <xdr:col>4</xdr:col>
      <xdr:colOff>784860</xdr:colOff>
      <xdr:row>4</xdr:row>
      <xdr:rowOff>99060</xdr:rowOff>
    </xdr:from>
    <xdr:to>
      <xdr:col>5</xdr:col>
      <xdr:colOff>754380</xdr:colOff>
      <xdr:row>6</xdr:row>
      <xdr:rowOff>38100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3D1C83D7-9061-9FD1-6621-8E8FA790A57C}"/>
            </a:ext>
          </a:extLst>
        </xdr:cNvPr>
        <xdr:cNvSpPr txBox="1"/>
      </xdr:nvSpPr>
      <xdr:spPr>
        <a:xfrm>
          <a:off x="3954780" y="830580"/>
          <a:ext cx="7620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ARTISANS</a:t>
          </a:r>
        </a:p>
      </xdr:txBody>
    </xdr:sp>
    <xdr:clientData/>
  </xdr:twoCellAnchor>
  <xdr:twoCellAnchor editAs="oneCell">
    <xdr:from>
      <xdr:col>5</xdr:col>
      <xdr:colOff>685800</xdr:colOff>
      <xdr:row>7</xdr:row>
      <xdr:rowOff>53340</xdr:rowOff>
    </xdr:from>
    <xdr:to>
      <xdr:col>6</xdr:col>
      <xdr:colOff>228600</xdr:colOff>
      <xdr:row>9</xdr:row>
      <xdr:rowOff>22860</xdr:rowOff>
    </xdr:to>
    <xdr:pic>
      <xdr:nvPicPr>
        <xdr:cNvPr id="40" name="Graphique 39" descr="Point d’insertion vers la droite avec un remplissage uni">
          <a:extLst>
            <a:ext uri="{FF2B5EF4-FFF2-40B4-BE49-F238E27FC236}">
              <a16:creationId xmlns:a16="http://schemas.microsoft.com/office/drawing/2014/main" id="{8633DF78-6A7D-E1C8-6AB7-805F91C4E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48200" y="1333500"/>
          <a:ext cx="335280" cy="335280"/>
        </a:xfrm>
        <a:prstGeom prst="rect">
          <a:avLst/>
        </a:prstGeom>
      </xdr:spPr>
    </xdr:pic>
    <xdr:clientData/>
  </xdr:twoCellAnchor>
  <xdr:twoCellAnchor>
    <xdr:from>
      <xdr:col>4</xdr:col>
      <xdr:colOff>45720</xdr:colOff>
      <xdr:row>23</xdr:row>
      <xdr:rowOff>160020</xdr:rowOff>
    </xdr:from>
    <xdr:to>
      <xdr:col>6</xdr:col>
      <xdr:colOff>274320</xdr:colOff>
      <xdr:row>26</xdr:row>
      <xdr:rowOff>91440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D42D91E2-7AEE-3A1A-B42E-33241C3E81B5}"/>
            </a:ext>
          </a:extLst>
        </xdr:cNvPr>
        <xdr:cNvSpPr txBox="1"/>
      </xdr:nvSpPr>
      <xdr:spPr>
        <a:xfrm>
          <a:off x="3215640" y="4366260"/>
          <a:ext cx="181356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>
              <a:solidFill>
                <a:schemeClr val="bg1"/>
              </a:solidFill>
            </a:rPr>
            <a:t>Gérer les fournisseurs</a:t>
          </a:r>
          <a:r>
            <a:rPr lang="en-GB" sz="1000" baseline="0">
              <a:solidFill>
                <a:schemeClr val="bg1"/>
              </a:solidFill>
            </a:rPr>
            <a:t> et </a:t>
          </a:r>
          <a:r>
            <a:rPr lang="en-GB" sz="1000">
              <a:solidFill>
                <a:schemeClr val="bg1"/>
              </a:solidFill>
            </a:rPr>
            <a:t>leurs</a:t>
          </a:r>
          <a:r>
            <a:rPr lang="en-GB" sz="1000" baseline="0">
              <a:solidFill>
                <a:schemeClr val="bg1"/>
              </a:solidFill>
            </a:rPr>
            <a:t> approvisionnement</a:t>
          </a:r>
          <a:endParaRPr lang="en-GB" sz="10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739140</xdr:colOff>
      <xdr:row>7</xdr:row>
      <xdr:rowOff>60960</xdr:rowOff>
    </xdr:from>
    <xdr:to>
      <xdr:col>15</xdr:col>
      <xdr:colOff>175260</xdr:colOff>
      <xdr:row>9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50EE60B8-CFFF-C8D6-A952-C2F7660178E7}"/>
            </a:ext>
          </a:extLst>
        </xdr:cNvPr>
        <xdr:cNvSpPr txBox="1"/>
      </xdr:nvSpPr>
      <xdr:spPr>
        <a:xfrm>
          <a:off x="10248900" y="1341120"/>
          <a:ext cx="181356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>
              <a:solidFill>
                <a:schemeClr val="bg1"/>
              </a:solidFill>
            </a:rPr>
            <a:t>Suivre les commandes devis et factures</a:t>
          </a:r>
        </a:p>
      </xdr:txBody>
    </xdr:sp>
    <xdr:clientData/>
  </xdr:twoCellAnchor>
  <xdr:twoCellAnchor>
    <xdr:from>
      <xdr:col>8</xdr:col>
      <xdr:colOff>396240</xdr:colOff>
      <xdr:row>24</xdr:row>
      <xdr:rowOff>0</xdr:rowOff>
    </xdr:from>
    <xdr:to>
      <xdr:col>10</xdr:col>
      <xdr:colOff>624840</xdr:colOff>
      <xdr:row>26</xdr:row>
      <xdr:rowOff>91440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C6E45CE6-5985-0FE4-A762-732351C540C6}"/>
            </a:ext>
          </a:extLst>
        </xdr:cNvPr>
        <xdr:cNvSpPr txBox="1"/>
      </xdr:nvSpPr>
      <xdr:spPr>
        <a:xfrm>
          <a:off x="6736080" y="4389120"/>
          <a:ext cx="181356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>
              <a:solidFill>
                <a:schemeClr val="bg1"/>
              </a:solidFill>
            </a:rPr>
            <a:t>Suivre</a:t>
          </a:r>
          <a:r>
            <a:rPr lang="en-GB" sz="1000" baseline="0">
              <a:solidFill>
                <a:schemeClr val="bg1"/>
              </a:solidFill>
            </a:rPr>
            <a:t> les produits, </a:t>
          </a:r>
        </a:p>
        <a:p>
          <a:r>
            <a:rPr lang="en-GB" sz="1000" baseline="0">
              <a:solidFill>
                <a:schemeClr val="bg1"/>
              </a:solidFill>
            </a:rPr>
            <a:t>les niveaux et les alertes </a:t>
          </a:r>
          <a:endParaRPr lang="en-GB" sz="10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571500</xdr:colOff>
      <xdr:row>23</xdr:row>
      <xdr:rowOff>144780</xdr:rowOff>
    </xdr:from>
    <xdr:to>
      <xdr:col>14</xdr:col>
      <xdr:colOff>441960</xdr:colOff>
      <xdr:row>26</xdr:row>
      <xdr:rowOff>53340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BD48459E-C728-098C-8DE8-942ADFFBABBE}"/>
            </a:ext>
          </a:extLst>
        </xdr:cNvPr>
        <xdr:cNvSpPr txBox="1"/>
      </xdr:nvSpPr>
      <xdr:spPr>
        <a:xfrm>
          <a:off x="10081260" y="4351020"/>
          <a:ext cx="145542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baseline="0">
              <a:solidFill>
                <a:schemeClr val="bg1"/>
              </a:solidFill>
            </a:rPr>
            <a:t>Analyser l'activité et les indicateurs clés</a:t>
          </a:r>
        </a:p>
      </xdr:txBody>
    </xdr:sp>
    <xdr:clientData/>
  </xdr:twoCellAnchor>
  <xdr:twoCellAnchor>
    <xdr:from>
      <xdr:col>13</xdr:col>
      <xdr:colOff>441960</xdr:colOff>
      <xdr:row>4</xdr:row>
      <xdr:rowOff>83820</xdr:rowOff>
    </xdr:from>
    <xdr:to>
      <xdr:col>14</xdr:col>
      <xdr:colOff>754380</xdr:colOff>
      <xdr:row>6</xdr:row>
      <xdr:rowOff>91440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5F85A159-3DBE-F944-D9DD-EAEBFCEE7409}"/>
            </a:ext>
          </a:extLst>
        </xdr:cNvPr>
        <xdr:cNvSpPr txBox="1"/>
      </xdr:nvSpPr>
      <xdr:spPr>
        <a:xfrm>
          <a:off x="10744200" y="815340"/>
          <a:ext cx="1104900" cy="3733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 baseline="0">
              <a:solidFill>
                <a:schemeClr val="bg1"/>
              </a:solidFill>
            </a:rPr>
            <a:t>COMMANDES</a:t>
          </a:r>
        </a:p>
      </xdr:txBody>
    </xdr:sp>
    <xdr:clientData/>
  </xdr:twoCellAnchor>
  <xdr:twoCellAnchor>
    <xdr:from>
      <xdr:col>4</xdr:col>
      <xdr:colOff>693420</xdr:colOff>
      <xdr:row>21</xdr:row>
      <xdr:rowOff>91440</xdr:rowOff>
    </xdr:from>
    <xdr:to>
      <xdr:col>6</xdr:col>
      <xdr:colOff>259080</xdr:colOff>
      <xdr:row>23</xdr:row>
      <xdr:rowOff>15240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E41B1D83-E8E7-EE66-A62D-99D9B1C9E88E}"/>
            </a:ext>
          </a:extLst>
        </xdr:cNvPr>
        <xdr:cNvSpPr txBox="1"/>
      </xdr:nvSpPr>
      <xdr:spPr>
        <a:xfrm>
          <a:off x="3863340" y="3931920"/>
          <a:ext cx="1150620" cy="289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50" b="1" baseline="0">
              <a:solidFill>
                <a:schemeClr val="bg1"/>
              </a:solidFill>
            </a:rPr>
            <a:t>FOURNISSEURS</a:t>
          </a:r>
        </a:p>
      </xdr:txBody>
    </xdr:sp>
    <xdr:clientData/>
  </xdr:twoCellAnchor>
  <xdr:twoCellAnchor>
    <xdr:from>
      <xdr:col>9</xdr:col>
      <xdr:colOff>213360</xdr:colOff>
      <xdr:row>21</xdr:row>
      <xdr:rowOff>99060</xdr:rowOff>
    </xdr:from>
    <xdr:to>
      <xdr:col>10</xdr:col>
      <xdr:colOff>228600</xdr:colOff>
      <xdr:row>23</xdr:row>
      <xdr:rowOff>22860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1BDE73AE-0F5D-B673-B814-70CD2E5F3E12}"/>
            </a:ext>
          </a:extLst>
        </xdr:cNvPr>
        <xdr:cNvSpPr txBox="1"/>
      </xdr:nvSpPr>
      <xdr:spPr>
        <a:xfrm>
          <a:off x="7345680" y="3939540"/>
          <a:ext cx="807720" cy="289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50" b="1" baseline="0">
              <a:solidFill>
                <a:schemeClr val="bg1"/>
              </a:solidFill>
            </a:rPr>
            <a:t>STOCKS</a:t>
          </a:r>
        </a:p>
      </xdr:txBody>
    </xdr:sp>
    <xdr:clientData/>
  </xdr:twoCellAnchor>
  <xdr:twoCellAnchor editAs="oneCell">
    <xdr:from>
      <xdr:col>10</xdr:col>
      <xdr:colOff>274320</xdr:colOff>
      <xdr:row>7</xdr:row>
      <xdr:rowOff>45720</xdr:rowOff>
    </xdr:from>
    <xdr:to>
      <xdr:col>10</xdr:col>
      <xdr:colOff>609600</xdr:colOff>
      <xdr:row>9</xdr:row>
      <xdr:rowOff>15240</xdr:rowOff>
    </xdr:to>
    <xdr:pic>
      <xdr:nvPicPr>
        <xdr:cNvPr id="49" name="Graphique 48" descr="Point d’insertion vers la droite avec un remplissage uni">
          <a:extLst>
            <a:ext uri="{FF2B5EF4-FFF2-40B4-BE49-F238E27FC236}">
              <a16:creationId xmlns:a16="http://schemas.microsoft.com/office/drawing/2014/main" id="{CE68E384-AF01-4857-A429-B859F0015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8199120" y="1325880"/>
          <a:ext cx="335280" cy="335280"/>
        </a:xfrm>
        <a:prstGeom prst="rect">
          <a:avLst/>
        </a:prstGeom>
      </xdr:spPr>
    </xdr:pic>
    <xdr:clientData/>
  </xdr:twoCellAnchor>
  <xdr:twoCellAnchor editAs="oneCell">
    <xdr:from>
      <xdr:col>14</xdr:col>
      <xdr:colOff>617220</xdr:colOff>
      <xdr:row>8</xdr:row>
      <xdr:rowOff>38100</xdr:rowOff>
    </xdr:from>
    <xdr:to>
      <xdr:col>15</xdr:col>
      <xdr:colOff>60960</xdr:colOff>
      <xdr:row>9</xdr:row>
      <xdr:rowOff>91440</xdr:rowOff>
    </xdr:to>
    <xdr:pic>
      <xdr:nvPicPr>
        <xdr:cNvPr id="51" name="Graphique 50" descr="Point d’insertion vers la droite avec un remplissage uni">
          <a:extLst>
            <a:ext uri="{FF2B5EF4-FFF2-40B4-BE49-F238E27FC236}">
              <a16:creationId xmlns:a16="http://schemas.microsoft.com/office/drawing/2014/main" id="{0ABC7800-B7D0-4873-851C-754E36ED9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1711940" y="1501140"/>
          <a:ext cx="236220" cy="236220"/>
        </a:xfrm>
        <a:prstGeom prst="rect">
          <a:avLst/>
        </a:prstGeom>
      </xdr:spPr>
    </xdr:pic>
    <xdr:clientData/>
  </xdr:twoCellAnchor>
  <xdr:twoCellAnchor editAs="oneCell">
    <xdr:from>
      <xdr:col>6</xdr:col>
      <xdr:colOff>7620</xdr:colOff>
      <xdr:row>24</xdr:row>
      <xdr:rowOff>60960</xdr:rowOff>
    </xdr:from>
    <xdr:to>
      <xdr:col>6</xdr:col>
      <xdr:colOff>342900</xdr:colOff>
      <xdr:row>26</xdr:row>
      <xdr:rowOff>30480</xdr:rowOff>
    </xdr:to>
    <xdr:pic>
      <xdr:nvPicPr>
        <xdr:cNvPr id="53" name="Graphique 52" descr="Point d’insertion vers la droite avec un remplissage uni">
          <a:extLst>
            <a:ext uri="{FF2B5EF4-FFF2-40B4-BE49-F238E27FC236}">
              <a16:creationId xmlns:a16="http://schemas.microsoft.com/office/drawing/2014/main" id="{EE115235-A72A-4841-AFCB-F7BF05E07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762500" y="4450080"/>
          <a:ext cx="335280" cy="335280"/>
        </a:xfrm>
        <a:prstGeom prst="rect">
          <a:avLst/>
        </a:prstGeom>
      </xdr:spPr>
    </xdr:pic>
    <xdr:clientData/>
  </xdr:twoCellAnchor>
  <xdr:twoCellAnchor editAs="oneCell">
    <xdr:from>
      <xdr:col>10</xdr:col>
      <xdr:colOff>213360</xdr:colOff>
      <xdr:row>24</xdr:row>
      <xdr:rowOff>45720</xdr:rowOff>
    </xdr:from>
    <xdr:to>
      <xdr:col>10</xdr:col>
      <xdr:colOff>548640</xdr:colOff>
      <xdr:row>26</xdr:row>
      <xdr:rowOff>15240</xdr:rowOff>
    </xdr:to>
    <xdr:pic>
      <xdr:nvPicPr>
        <xdr:cNvPr id="55" name="Graphique 54" descr="Point d’insertion vers la droite avec un remplissage uni">
          <a:extLst>
            <a:ext uri="{FF2B5EF4-FFF2-40B4-BE49-F238E27FC236}">
              <a16:creationId xmlns:a16="http://schemas.microsoft.com/office/drawing/2014/main" id="{FEF63926-7137-404F-996F-C250E1564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8138160" y="4434840"/>
          <a:ext cx="335280" cy="335280"/>
        </a:xfrm>
        <a:prstGeom prst="rect">
          <a:avLst/>
        </a:prstGeom>
      </xdr:spPr>
    </xdr:pic>
    <xdr:clientData/>
  </xdr:twoCellAnchor>
  <xdr:twoCellAnchor editAs="oneCell">
    <xdr:from>
      <xdr:col>14</xdr:col>
      <xdr:colOff>388620</xdr:colOff>
      <xdr:row>23</xdr:row>
      <xdr:rowOff>160020</xdr:rowOff>
    </xdr:from>
    <xdr:to>
      <xdr:col>14</xdr:col>
      <xdr:colOff>723900</xdr:colOff>
      <xdr:row>25</xdr:row>
      <xdr:rowOff>129540</xdr:rowOff>
    </xdr:to>
    <xdr:pic>
      <xdr:nvPicPr>
        <xdr:cNvPr id="56" name="Graphique 55" descr="Point d’insertion vers la droite avec un remplissage uni">
          <a:extLst>
            <a:ext uri="{FF2B5EF4-FFF2-40B4-BE49-F238E27FC236}">
              <a16:creationId xmlns:a16="http://schemas.microsoft.com/office/drawing/2014/main" id="{4A3013C6-8EBE-4245-8966-51DF2D230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1483340" y="4366260"/>
          <a:ext cx="335280" cy="335280"/>
        </a:xfrm>
        <a:prstGeom prst="rect">
          <a:avLst/>
        </a:prstGeom>
      </xdr:spPr>
    </xdr:pic>
    <xdr:clientData/>
  </xdr:twoCellAnchor>
  <xdr:twoCellAnchor>
    <xdr:from>
      <xdr:col>13</xdr:col>
      <xdr:colOff>266700</xdr:colOff>
      <xdr:row>21</xdr:row>
      <xdr:rowOff>152400</xdr:rowOff>
    </xdr:from>
    <xdr:to>
      <xdr:col>15</xdr:col>
      <xdr:colOff>0</xdr:colOff>
      <xdr:row>23</xdr:row>
      <xdr:rowOff>91440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1CD126AD-994D-84CA-386F-DDCEFFC023C7}"/>
            </a:ext>
          </a:extLst>
        </xdr:cNvPr>
        <xdr:cNvSpPr txBox="1"/>
      </xdr:nvSpPr>
      <xdr:spPr>
        <a:xfrm>
          <a:off x="10568940" y="3992880"/>
          <a:ext cx="131826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TABLEAU</a:t>
          </a:r>
          <a:r>
            <a:rPr lang="en-GB" sz="1100" b="1" baseline="0">
              <a:solidFill>
                <a:schemeClr val="bg1"/>
              </a:solidFill>
            </a:rPr>
            <a:t> DE BORD</a:t>
          </a:r>
          <a:endParaRPr lang="en-GB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21</xdr:row>
      <xdr:rowOff>7620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F8ECFA-5EE9-AD43-BC88-B542C019CA30}"/>
            </a:ext>
          </a:extLst>
        </xdr:cNvPr>
        <xdr:cNvSpPr/>
      </xdr:nvSpPr>
      <xdr:spPr>
        <a:xfrm>
          <a:off x="0" y="0"/>
          <a:ext cx="2217420" cy="3848100"/>
        </a:xfrm>
        <a:prstGeom prst="rect">
          <a:avLst/>
        </a:prstGeom>
        <a:gradFill>
          <a:gsLst>
            <a:gs pos="12000">
              <a:schemeClr val="tx2">
                <a:lumMod val="50000"/>
                <a:lumOff val="50000"/>
              </a:schemeClr>
            </a:gs>
            <a:gs pos="46000">
              <a:schemeClr val="accent2">
                <a:lumMod val="75000"/>
              </a:schemeClr>
            </a:gs>
            <a:gs pos="71000">
              <a:srgbClr val="00206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167640</xdr:rowOff>
    </xdr:from>
    <xdr:to>
      <xdr:col>3</xdr:col>
      <xdr:colOff>0</xdr:colOff>
      <xdr:row>6</xdr:row>
      <xdr:rowOff>152400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61E57BB-12FF-40A0-B010-E117C33E0F0B}"/>
            </a:ext>
          </a:extLst>
        </xdr:cNvPr>
        <xdr:cNvSpPr/>
      </xdr:nvSpPr>
      <xdr:spPr>
        <a:xfrm>
          <a:off x="0" y="899160"/>
          <a:ext cx="2217420" cy="350520"/>
        </a:xfrm>
        <a:prstGeom prst="rect">
          <a:avLst/>
        </a:prstGeom>
        <a:solidFill>
          <a:srgbClr val="FFFF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91439</xdr:colOff>
      <xdr:row>2</xdr:row>
      <xdr:rowOff>152400</xdr:rowOff>
    </xdr:from>
    <xdr:to>
      <xdr:col>11</xdr:col>
      <xdr:colOff>732232</xdr:colOff>
      <xdr:row>4</xdr:row>
      <xdr:rowOff>45720</xdr:rowOff>
    </xdr:to>
    <xdr:sp macro="[0]!OuvrirRechercheArtisan" textlink="">
      <xdr:nvSpPr>
        <xdr:cNvPr id="7" name="ZoneTexte 6">
          <a:extLst>
            <a:ext uri="{FF2B5EF4-FFF2-40B4-BE49-F238E27FC236}">
              <a16:creationId xmlns:a16="http://schemas.microsoft.com/office/drawing/2014/main" id="{705FE9D2-4693-0CD0-C2BC-2D2B3AB373C9}"/>
            </a:ext>
          </a:extLst>
        </xdr:cNvPr>
        <xdr:cNvSpPr txBox="1"/>
      </xdr:nvSpPr>
      <xdr:spPr>
        <a:xfrm>
          <a:off x="10096499" y="518160"/>
          <a:ext cx="1433273" cy="259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RECHERCHER</a:t>
          </a:r>
        </a:p>
      </xdr:txBody>
    </xdr:sp>
    <xdr:clientData/>
  </xdr:twoCellAnchor>
  <xdr:twoCellAnchor>
    <xdr:from>
      <xdr:col>10</xdr:col>
      <xdr:colOff>91440</xdr:colOff>
      <xdr:row>0</xdr:row>
      <xdr:rowOff>76200</xdr:rowOff>
    </xdr:from>
    <xdr:to>
      <xdr:col>11</xdr:col>
      <xdr:colOff>723900</xdr:colOff>
      <xdr:row>1</xdr:row>
      <xdr:rowOff>167640</xdr:rowOff>
    </xdr:to>
    <xdr:sp macro="[0]!artisan" textlink="">
      <xdr:nvSpPr>
        <xdr:cNvPr id="11" name="ZoneTexte 10">
          <a:extLst>
            <a:ext uri="{FF2B5EF4-FFF2-40B4-BE49-F238E27FC236}">
              <a16:creationId xmlns:a16="http://schemas.microsoft.com/office/drawing/2014/main" id="{EAC36A20-C203-4425-BFE7-8574F352D386}"/>
            </a:ext>
          </a:extLst>
        </xdr:cNvPr>
        <xdr:cNvSpPr txBox="1"/>
      </xdr:nvSpPr>
      <xdr:spPr>
        <a:xfrm>
          <a:off x="10096500" y="76200"/>
          <a:ext cx="142494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GB" sz="1100" b="0"/>
            <a:t>LISTE</a:t>
          </a:r>
          <a:r>
            <a:rPr lang="en-GB" sz="1100" b="0" baseline="0"/>
            <a:t> DES ARTISAN</a:t>
          </a:r>
          <a:endParaRPr lang="en-GB" sz="1100" b="0"/>
        </a:p>
      </xdr:txBody>
    </xdr:sp>
    <xdr:clientData/>
  </xdr:twoCellAnchor>
  <xdr:twoCellAnchor>
    <xdr:from>
      <xdr:col>10</xdr:col>
      <xdr:colOff>68580</xdr:colOff>
      <xdr:row>10</xdr:row>
      <xdr:rowOff>83820</xdr:rowOff>
    </xdr:from>
    <xdr:to>
      <xdr:col>11</xdr:col>
      <xdr:colOff>723900</xdr:colOff>
      <xdr:row>11</xdr:row>
      <xdr:rowOff>152400</xdr:rowOff>
    </xdr:to>
    <xdr:sp macro="[0]!SupprimerArtisan" textlink="">
      <xdr:nvSpPr>
        <xdr:cNvPr id="13" name="ZoneTexte 12">
          <a:extLst>
            <a:ext uri="{FF2B5EF4-FFF2-40B4-BE49-F238E27FC236}">
              <a16:creationId xmlns:a16="http://schemas.microsoft.com/office/drawing/2014/main" id="{C794029B-CD09-76D6-FF4E-8D20DD3BC256}"/>
            </a:ext>
          </a:extLst>
        </xdr:cNvPr>
        <xdr:cNvSpPr txBox="1"/>
      </xdr:nvSpPr>
      <xdr:spPr>
        <a:xfrm>
          <a:off x="10073640" y="1912620"/>
          <a:ext cx="144780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SUPPRIMER</a:t>
          </a:r>
        </a:p>
      </xdr:txBody>
    </xdr:sp>
    <xdr:clientData/>
  </xdr:twoCellAnchor>
  <xdr:twoCellAnchor>
    <xdr:from>
      <xdr:col>10</xdr:col>
      <xdr:colOff>83820</xdr:colOff>
      <xdr:row>7</xdr:row>
      <xdr:rowOff>175260</xdr:rowOff>
    </xdr:from>
    <xdr:to>
      <xdr:col>11</xdr:col>
      <xdr:colOff>731520</xdr:colOff>
      <xdr:row>9</xdr:row>
      <xdr:rowOff>83820</xdr:rowOff>
    </xdr:to>
    <xdr:sp macro="[0]!ModifierArtisan" textlink="">
      <xdr:nvSpPr>
        <xdr:cNvPr id="14" name="ZoneTexte 13">
          <a:extLst>
            <a:ext uri="{FF2B5EF4-FFF2-40B4-BE49-F238E27FC236}">
              <a16:creationId xmlns:a16="http://schemas.microsoft.com/office/drawing/2014/main" id="{81417B23-5890-9B01-0D4F-E54E7E16F35A}"/>
            </a:ext>
          </a:extLst>
        </xdr:cNvPr>
        <xdr:cNvSpPr txBox="1"/>
      </xdr:nvSpPr>
      <xdr:spPr>
        <a:xfrm>
          <a:off x="10088880" y="1455420"/>
          <a:ext cx="144018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MODIFIER</a:t>
          </a:r>
        </a:p>
      </xdr:txBody>
    </xdr:sp>
    <xdr:clientData/>
  </xdr:twoCellAnchor>
  <xdr:twoCellAnchor>
    <xdr:from>
      <xdr:col>10</xdr:col>
      <xdr:colOff>91440</xdr:colOff>
      <xdr:row>5</xdr:row>
      <xdr:rowOff>99060</xdr:rowOff>
    </xdr:from>
    <xdr:to>
      <xdr:col>11</xdr:col>
      <xdr:colOff>739140</xdr:colOff>
      <xdr:row>7</xdr:row>
      <xdr:rowOff>7620</xdr:rowOff>
    </xdr:to>
    <xdr:sp macro="[0]!Ajouterartisan" textlink="">
      <xdr:nvSpPr>
        <xdr:cNvPr id="15" name="ZoneTexte 14">
          <a:extLst>
            <a:ext uri="{FF2B5EF4-FFF2-40B4-BE49-F238E27FC236}">
              <a16:creationId xmlns:a16="http://schemas.microsoft.com/office/drawing/2014/main" id="{F328624F-260A-85F5-8FE5-FE5807D722BB}"/>
            </a:ext>
          </a:extLst>
        </xdr:cNvPr>
        <xdr:cNvSpPr txBox="1"/>
      </xdr:nvSpPr>
      <xdr:spPr>
        <a:xfrm>
          <a:off x="10096500" y="1013460"/>
          <a:ext cx="144018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/>
            <a:t>AJOUTER</a:t>
          </a:r>
          <a:r>
            <a:rPr lang="en-GB" sz="1100" baseline="0"/>
            <a:t> UN ARTISAN</a:t>
          </a:r>
          <a:endParaRPr lang="en-GB" sz="1100"/>
        </a:p>
      </xdr:txBody>
    </xdr:sp>
    <xdr:clientData/>
  </xdr:twoCellAnchor>
  <xdr:twoCellAnchor>
    <xdr:from>
      <xdr:col>10</xdr:col>
      <xdr:colOff>76200</xdr:colOff>
      <xdr:row>13</xdr:row>
      <xdr:rowOff>22860</xdr:rowOff>
    </xdr:from>
    <xdr:to>
      <xdr:col>11</xdr:col>
      <xdr:colOff>701040</xdr:colOff>
      <xdr:row>14</xdr:row>
      <xdr:rowOff>91440</xdr:rowOff>
    </xdr:to>
    <xdr:sp macro="[0]!FermerListeArtisans" textlink="">
      <xdr:nvSpPr>
        <xdr:cNvPr id="20" name="ZoneTexte 19">
          <a:extLst>
            <a:ext uri="{FF2B5EF4-FFF2-40B4-BE49-F238E27FC236}">
              <a16:creationId xmlns:a16="http://schemas.microsoft.com/office/drawing/2014/main" id="{22ACFE2D-864A-6FFD-A2F5-BE92288ACB06}"/>
            </a:ext>
          </a:extLst>
        </xdr:cNvPr>
        <xdr:cNvSpPr txBox="1"/>
      </xdr:nvSpPr>
      <xdr:spPr>
        <a:xfrm>
          <a:off x="10081260" y="2400300"/>
          <a:ext cx="141732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FERMER</a:t>
          </a:r>
        </a:p>
      </xdr:txBody>
    </xdr:sp>
    <xdr:clientData/>
  </xdr:twoCellAnchor>
  <xdr:twoCellAnchor>
    <xdr:from>
      <xdr:col>28</xdr:col>
      <xdr:colOff>114300</xdr:colOff>
      <xdr:row>1</xdr:row>
      <xdr:rowOff>68580</xdr:rowOff>
    </xdr:from>
    <xdr:to>
      <xdr:col>29</xdr:col>
      <xdr:colOff>716280</xdr:colOff>
      <xdr:row>3</xdr:row>
      <xdr:rowOff>91440</xdr:rowOff>
    </xdr:to>
    <xdr:sp macro="[0]!Ouvrir_stock_artisan" textlink="">
      <xdr:nvSpPr>
        <xdr:cNvPr id="3" name="Rectangle 2">
          <a:extLst>
            <a:ext uri="{FF2B5EF4-FFF2-40B4-BE49-F238E27FC236}">
              <a16:creationId xmlns:a16="http://schemas.microsoft.com/office/drawing/2014/main" id="{95B31E33-B869-235E-10CF-91852FDFBD38}"/>
            </a:ext>
          </a:extLst>
        </xdr:cNvPr>
        <xdr:cNvSpPr/>
      </xdr:nvSpPr>
      <xdr:spPr>
        <a:xfrm>
          <a:off x="24620220" y="251460"/>
          <a:ext cx="1394460" cy="388620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STOCK</a:t>
          </a:r>
          <a:r>
            <a:rPr lang="en-GB" sz="1100" baseline="0"/>
            <a:t> ARTISAN</a:t>
          </a:r>
          <a:endParaRPr lang="en-GB" sz="1100"/>
        </a:p>
      </xdr:txBody>
    </xdr:sp>
    <xdr:clientData/>
  </xdr:twoCellAnchor>
  <xdr:twoCellAnchor>
    <xdr:from>
      <xdr:col>14</xdr:col>
      <xdr:colOff>53340</xdr:colOff>
      <xdr:row>1</xdr:row>
      <xdr:rowOff>0</xdr:rowOff>
    </xdr:from>
    <xdr:to>
      <xdr:col>15</xdr:col>
      <xdr:colOff>731520</xdr:colOff>
      <xdr:row>2</xdr:row>
      <xdr:rowOff>137160</xdr:rowOff>
    </xdr:to>
    <xdr:sp macro="[0]!Disponibilite" textlink="">
      <xdr:nvSpPr>
        <xdr:cNvPr id="4" name="Rectangle 3">
          <a:extLst>
            <a:ext uri="{FF2B5EF4-FFF2-40B4-BE49-F238E27FC236}">
              <a16:creationId xmlns:a16="http://schemas.microsoft.com/office/drawing/2014/main" id="{7F0F6A22-5272-2714-E1FD-65DD4CBB87B1}"/>
            </a:ext>
          </a:extLst>
        </xdr:cNvPr>
        <xdr:cNvSpPr/>
      </xdr:nvSpPr>
      <xdr:spPr>
        <a:xfrm>
          <a:off x="13464540" y="182880"/>
          <a:ext cx="1470660" cy="320040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ARTISAN</a:t>
          </a:r>
          <a:r>
            <a:rPr lang="en-GB" sz="1100" baseline="0"/>
            <a:t> EN TRAVAUX</a:t>
          </a:r>
          <a:endParaRPr lang="en-GB" sz="1100"/>
        </a:p>
      </xdr:txBody>
    </xdr:sp>
    <xdr:clientData/>
  </xdr:twoCellAnchor>
  <xdr:twoCellAnchor>
    <xdr:from>
      <xdr:col>19</xdr:col>
      <xdr:colOff>76200</xdr:colOff>
      <xdr:row>1</xdr:row>
      <xdr:rowOff>68580</xdr:rowOff>
    </xdr:from>
    <xdr:to>
      <xdr:col>20</xdr:col>
      <xdr:colOff>731520</xdr:colOff>
      <xdr:row>4</xdr:row>
      <xdr:rowOff>22860</xdr:rowOff>
    </xdr:to>
    <xdr:sp macro="[0]!PrixMoyen" textlink="">
      <xdr:nvSpPr>
        <xdr:cNvPr id="5" name="Rectangle 4">
          <a:extLst>
            <a:ext uri="{FF2B5EF4-FFF2-40B4-BE49-F238E27FC236}">
              <a16:creationId xmlns:a16="http://schemas.microsoft.com/office/drawing/2014/main" id="{27A6FB0A-D99E-8253-E01F-CDB8C47F9B03}"/>
            </a:ext>
          </a:extLst>
        </xdr:cNvPr>
        <xdr:cNvSpPr/>
      </xdr:nvSpPr>
      <xdr:spPr>
        <a:xfrm>
          <a:off x="17449800" y="251460"/>
          <a:ext cx="1447800" cy="50292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</a:rPr>
            <a:t>PRIX</a:t>
          </a:r>
          <a:r>
            <a:rPr lang="en-GB" sz="1100" baseline="0">
              <a:solidFill>
                <a:schemeClr val="tx1"/>
              </a:solidFill>
            </a:rPr>
            <a:t> MOYEN PAR REGION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464820</xdr:colOff>
      <xdr:row>17</xdr:row>
      <xdr:rowOff>15240</xdr:rowOff>
    </xdr:from>
    <xdr:to>
      <xdr:col>2</xdr:col>
      <xdr:colOff>556260</xdr:colOff>
      <xdr:row>19</xdr:row>
      <xdr:rowOff>38100</xdr:rowOff>
    </xdr:to>
    <xdr:sp macro="" textlink="">
      <xdr:nvSpPr>
        <xdr:cNvPr id="12" name="ZoneTexte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D50AFE-CAD1-719D-4F15-54A11B742F07}"/>
            </a:ext>
          </a:extLst>
        </xdr:cNvPr>
        <xdr:cNvSpPr txBox="1"/>
      </xdr:nvSpPr>
      <xdr:spPr>
        <a:xfrm>
          <a:off x="464820" y="3124200"/>
          <a:ext cx="156972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TABLEAU</a:t>
          </a:r>
          <a:r>
            <a:rPr lang="en-GB" sz="1400" b="1" baseline="0">
              <a:solidFill>
                <a:schemeClr val="bg1"/>
              </a:solidFill>
            </a:rPr>
            <a:t> DE BORD</a:t>
          </a:r>
          <a:endParaRPr lang="en-GB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586740</xdr:colOff>
      <xdr:row>7</xdr:row>
      <xdr:rowOff>144780</xdr:rowOff>
    </xdr:from>
    <xdr:to>
      <xdr:col>2</xdr:col>
      <xdr:colOff>556260</xdr:colOff>
      <xdr:row>10</xdr:row>
      <xdr:rowOff>76200</xdr:rowOff>
    </xdr:to>
    <xdr:sp macro="" textlink="">
      <xdr:nvSpPr>
        <xdr:cNvPr id="18" name="ZoneText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9B3818D-8763-3C13-72E8-8DF5C9011D3D}"/>
            </a:ext>
          </a:extLst>
        </xdr:cNvPr>
        <xdr:cNvSpPr txBox="1"/>
      </xdr:nvSpPr>
      <xdr:spPr>
        <a:xfrm>
          <a:off x="586740" y="14249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FOURNISSEUR</a:t>
          </a:r>
        </a:p>
      </xdr:txBody>
    </xdr:sp>
    <xdr:clientData/>
  </xdr:twoCellAnchor>
  <xdr:twoCellAnchor>
    <xdr:from>
      <xdr:col>0</xdr:col>
      <xdr:colOff>640080</xdr:colOff>
      <xdr:row>13</xdr:row>
      <xdr:rowOff>175260</xdr:rowOff>
    </xdr:from>
    <xdr:to>
      <xdr:col>2</xdr:col>
      <xdr:colOff>556260</xdr:colOff>
      <xdr:row>15</xdr:row>
      <xdr:rowOff>91440</xdr:rowOff>
    </xdr:to>
    <xdr:sp macro="" textlink="">
      <xdr:nvSpPr>
        <xdr:cNvPr id="21" name="ZoneTexte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BC61CC4-980D-C134-FC8A-A6FB0D0B7762}"/>
            </a:ext>
          </a:extLst>
        </xdr:cNvPr>
        <xdr:cNvSpPr txBox="1"/>
      </xdr:nvSpPr>
      <xdr:spPr>
        <a:xfrm>
          <a:off x="640080" y="255270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COMMANDES</a:t>
          </a:r>
        </a:p>
      </xdr:txBody>
    </xdr:sp>
    <xdr:clientData/>
  </xdr:twoCellAnchor>
  <xdr:twoCellAnchor>
    <xdr:from>
      <xdr:col>0</xdr:col>
      <xdr:colOff>640080</xdr:colOff>
      <xdr:row>10</xdr:row>
      <xdr:rowOff>99060</xdr:rowOff>
    </xdr:from>
    <xdr:to>
      <xdr:col>2</xdr:col>
      <xdr:colOff>556260</xdr:colOff>
      <xdr:row>12</xdr:row>
      <xdr:rowOff>15240</xdr:rowOff>
    </xdr:to>
    <xdr:sp macro="" textlink="">
      <xdr:nvSpPr>
        <xdr:cNvPr id="23" name="ZoneText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FC67813-583A-A41B-71E3-3533630BACB2}"/>
            </a:ext>
          </a:extLst>
        </xdr:cNvPr>
        <xdr:cNvSpPr txBox="1"/>
      </xdr:nvSpPr>
      <xdr:spPr>
        <a:xfrm>
          <a:off x="640080" y="192786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STOCK</a:t>
          </a:r>
        </a:p>
      </xdr:txBody>
    </xdr:sp>
    <xdr:clientData/>
  </xdr:twoCellAnchor>
  <xdr:twoCellAnchor>
    <xdr:from>
      <xdr:col>0</xdr:col>
      <xdr:colOff>586740</xdr:colOff>
      <xdr:row>4</xdr:row>
      <xdr:rowOff>160020</xdr:rowOff>
    </xdr:from>
    <xdr:to>
      <xdr:col>2</xdr:col>
      <xdr:colOff>556260</xdr:colOff>
      <xdr:row>7</xdr:row>
      <xdr:rowOff>91440</xdr:rowOff>
    </xdr:to>
    <xdr:sp macro="" textlink="">
      <xdr:nvSpPr>
        <xdr:cNvPr id="24" name="ZoneText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8BA23DE-6CED-3859-D917-28400F694A34}"/>
            </a:ext>
          </a:extLst>
        </xdr:cNvPr>
        <xdr:cNvSpPr txBox="1"/>
      </xdr:nvSpPr>
      <xdr:spPr>
        <a:xfrm>
          <a:off x="586740" y="8915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/>
            <a:t>ARTISAN</a:t>
          </a:r>
        </a:p>
      </xdr:txBody>
    </xdr:sp>
    <xdr:clientData/>
  </xdr:twoCellAnchor>
  <xdr:twoCellAnchor>
    <xdr:from>
      <xdr:col>0</xdr:col>
      <xdr:colOff>586740</xdr:colOff>
      <xdr:row>2</xdr:row>
      <xdr:rowOff>121920</xdr:rowOff>
    </xdr:from>
    <xdr:to>
      <xdr:col>2</xdr:col>
      <xdr:colOff>556260</xdr:colOff>
      <xdr:row>4</xdr:row>
      <xdr:rowOff>106680</xdr:rowOff>
    </xdr:to>
    <xdr:sp macro="" textlink="">
      <xdr:nvSpPr>
        <xdr:cNvPr id="25" name="ZoneTexte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B348042-00DE-63D2-5DE2-8FAD879D07B8}"/>
            </a:ext>
          </a:extLst>
        </xdr:cNvPr>
        <xdr:cNvSpPr txBox="1"/>
      </xdr:nvSpPr>
      <xdr:spPr>
        <a:xfrm>
          <a:off x="586740" y="487680"/>
          <a:ext cx="144780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 editAs="oneCell">
    <xdr:from>
      <xdr:col>0</xdr:col>
      <xdr:colOff>365760</xdr:colOff>
      <xdr:row>2</xdr:row>
      <xdr:rowOff>175260</xdr:rowOff>
    </xdr:from>
    <xdr:to>
      <xdr:col>0</xdr:col>
      <xdr:colOff>640080</xdr:colOff>
      <xdr:row>4</xdr:row>
      <xdr:rowOff>83820</xdr:rowOff>
    </xdr:to>
    <xdr:pic>
      <xdr:nvPicPr>
        <xdr:cNvPr id="31" name="Graphique 30" descr="Logement avec un remplissage uni">
          <a:extLst>
            <a:ext uri="{FF2B5EF4-FFF2-40B4-BE49-F238E27FC236}">
              <a16:creationId xmlns:a16="http://schemas.microsoft.com/office/drawing/2014/main" id="{B255C4BB-07F8-000B-429D-DAB2A0718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365760" y="54102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10</xdr:row>
      <xdr:rowOff>68580</xdr:rowOff>
    </xdr:from>
    <xdr:to>
      <xdr:col>0</xdr:col>
      <xdr:colOff>640080</xdr:colOff>
      <xdr:row>11</xdr:row>
      <xdr:rowOff>160020</xdr:rowOff>
    </xdr:to>
    <xdr:pic>
      <xdr:nvPicPr>
        <xdr:cNvPr id="32" name="Graphique 31" descr="Boîte avec un remplissage uni">
          <a:extLst>
            <a:ext uri="{FF2B5EF4-FFF2-40B4-BE49-F238E27FC236}">
              <a16:creationId xmlns:a16="http://schemas.microsoft.com/office/drawing/2014/main" id="{02FAF0C4-81F4-790C-AE02-7487DCE9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 flipH="1">
          <a:off x="365760" y="1897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13</xdr:row>
      <xdr:rowOff>76200</xdr:rowOff>
    </xdr:from>
    <xdr:to>
      <xdr:col>0</xdr:col>
      <xdr:colOff>640080</xdr:colOff>
      <xdr:row>14</xdr:row>
      <xdr:rowOff>167640</xdr:rowOff>
    </xdr:to>
    <xdr:pic>
      <xdr:nvPicPr>
        <xdr:cNvPr id="33" name="Graphique 32" descr="Presse-papiers vérifié avec un remplissage uni">
          <a:extLst>
            <a:ext uri="{FF2B5EF4-FFF2-40B4-BE49-F238E27FC236}">
              <a16:creationId xmlns:a16="http://schemas.microsoft.com/office/drawing/2014/main" id="{56755D49-10D9-0F05-B8BB-57FB73B0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 flipH="1">
          <a:off x="365760" y="245364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251460</xdr:colOff>
      <xdr:row>16</xdr:row>
      <xdr:rowOff>114300</xdr:rowOff>
    </xdr:from>
    <xdr:to>
      <xdr:col>0</xdr:col>
      <xdr:colOff>525780</xdr:colOff>
      <xdr:row>18</xdr:row>
      <xdr:rowOff>22860</xdr:rowOff>
    </xdr:to>
    <xdr:pic>
      <xdr:nvPicPr>
        <xdr:cNvPr id="34" name="Graphique 33" descr="Signal avec un remplissage uni">
          <a:extLst>
            <a:ext uri="{FF2B5EF4-FFF2-40B4-BE49-F238E27FC236}">
              <a16:creationId xmlns:a16="http://schemas.microsoft.com/office/drawing/2014/main" id="{88903CCF-7161-9559-4CEE-6BEAEBE51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 flipH="1">
          <a:off x="251460" y="3040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5</xdr:row>
      <xdr:rowOff>0</xdr:rowOff>
    </xdr:from>
    <xdr:to>
      <xdr:col>0</xdr:col>
      <xdr:colOff>640080</xdr:colOff>
      <xdr:row>6</xdr:row>
      <xdr:rowOff>91440</xdr:rowOff>
    </xdr:to>
    <xdr:pic>
      <xdr:nvPicPr>
        <xdr:cNvPr id="37" name="Graphique 36" descr="Homme ouvrier du bâtiment avec un remplissage uni">
          <a:extLst>
            <a:ext uri="{FF2B5EF4-FFF2-40B4-BE49-F238E27FC236}">
              <a16:creationId xmlns:a16="http://schemas.microsoft.com/office/drawing/2014/main" id="{14577DAE-488A-2AAE-18D9-985849389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 flipH="1">
          <a:off x="365760" y="914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7</xdr:row>
      <xdr:rowOff>167640</xdr:rowOff>
    </xdr:from>
    <xdr:to>
      <xdr:col>0</xdr:col>
      <xdr:colOff>640080</xdr:colOff>
      <xdr:row>9</xdr:row>
      <xdr:rowOff>76200</xdr:rowOff>
    </xdr:to>
    <xdr:pic>
      <xdr:nvPicPr>
        <xdr:cNvPr id="38" name="Graphique 37" descr="Camion-benne avec un remplissage uni">
          <a:extLst>
            <a:ext uri="{FF2B5EF4-FFF2-40B4-BE49-F238E27FC236}">
              <a16:creationId xmlns:a16="http://schemas.microsoft.com/office/drawing/2014/main" id="{FAC61782-DDA8-9375-D0AF-F9B923F28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 flipH="1">
          <a:off x="365760" y="1447800"/>
          <a:ext cx="274320" cy="274320"/>
        </a:xfrm>
        <a:prstGeom prst="rect">
          <a:avLst/>
        </a:prstGeom>
      </xdr:spPr>
    </xdr:pic>
    <xdr:clientData/>
  </xdr:twoCellAnchor>
  <xdr:twoCellAnchor>
    <xdr:from>
      <xdr:col>2</xdr:col>
      <xdr:colOff>451140</xdr:colOff>
      <xdr:row>0</xdr:row>
      <xdr:rowOff>0</xdr:rowOff>
    </xdr:from>
    <xdr:to>
      <xdr:col>3</xdr:col>
      <xdr:colOff>0</xdr:colOff>
      <xdr:row>21</xdr:row>
      <xdr:rowOff>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891ECA61-04D0-9C81-F8A6-2547BBDCD445}"/>
            </a:ext>
          </a:extLst>
        </xdr:cNvPr>
        <xdr:cNvSpPr/>
      </xdr:nvSpPr>
      <xdr:spPr>
        <a:xfrm>
          <a:off x="1929420" y="0"/>
          <a:ext cx="288000" cy="3840480"/>
        </a:xfrm>
        <a:prstGeom prst="rect">
          <a:avLst/>
        </a:prstGeom>
        <a:gradFill>
          <a:gsLst>
            <a:gs pos="12000">
              <a:srgbClr val="FFFF00"/>
            </a:gs>
            <a:gs pos="46000">
              <a:srgbClr val="FFC000"/>
            </a:gs>
            <a:gs pos="71000">
              <a:srgbClr val="FFFF0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60960</xdr:colOff>
      <xdr:row>1</xdr:row>
      <xdr:rowOff>7620</xdr:rowOff>
    </xdr:from>
    <xdr:to>
      <xdr:col>14</xdr:col>
      <xdr:colOff>822960</xdr:colOff>
      <xdr:row>3</xdr:row>
      <xdr:rowOff>0</xdr:rowOff>
    </xdr:to>
    <xdr:sp macro="[0]!Fournisseur.fournisseur" textlink="">
      <xdr:nvSpPr>
        <xdr:cNvPr id="2" name="Rectangle 1">
          <a:extLst>
            <a:ext uri="{FF2B5EF4-FFF2-40B4-BE49-F238E27FC236}">
              <a16:creationId xmlns:a16="http://schemas.microsoft.com/office/drawing/2014/main" id="{A360CAC7-CFBD-F9BA-A668-F94BB6AD74A2}"/>
            </a:ext>
          </a:extLst>
        </xdr:cNvPr>
        <xdr:cNvSpPr/>
      </xdr:nvSpPr>
      <xdr:spPr>
        <a:xfrm>
          <a:off x="7124700" y="190500"/>
          <a:ext cx="1630680" cy="35814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LISTE</a:t>
          </a:r>
          <a:r>
            <a:rPr lang="en-GB" sz="1100" baseline="0">
              <a:solidFill>
                <a:schemeClr val="tx1"/>
              </a:solidFill>
            </a:rPr>
            <a:t> DES FOURNISSEUR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420864</xdr:colOff>
      <xdr:row>7</xdr:row>
      <xdr:rowOff>99060</xdr:rowOff>
    </xdr:from>
    <xdr:to>
      <xdr:col>14</xdr:col>
      <xdr:colOff>502920</xdr:colOff>
      <xdr:row>9</xdr:row>
      <xdr:rowOff>99060</xdr:rowOff>
    </xdr:to>
    <xdr:sp macro="[0]!EffacerFournisseurs" textlink="">
      <xdr:nvSpPr>
        <xdr:cNvPr id="3" name="Rectangle 2">
          <a:extLst>
            <a:ext uri="{FF2B5EF4-FFF2-40B4-BE49-F238E27FC236}">
              <a16:creationId xmlns:a16="http://schemas.microsoft.com/office/drawing/2014/main" id="{A195AFA2-1F10-0A52-4879-5E8DCF687422}"/>
            </a:ext>
          </a:extLst>
        </xdr:cNvPr>
        <xdr:cNvSpPr/>
      </xdr:nvSpPr>
      <xdr:spPr>
        <a:xfrm>
          <a:off x="7484604" y="1379220"/>
          <a:ext cx="950736" cy="3657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FERMER</a:t>
          </a:r>
        </a:p>
      </xdr:txBody>
    </xdr:sp>
    <xdr:clientData/>
  </xdr:twoCellAnchor>
  <xdr:twoCellAnchor>
    <xdr:from>
      <xdr:col>13</xdr:col>
      <xdr:colOff>220980</xdr:colOff>
      <xdr:row>4</xdr:row>
      <xdr:rowOff>15240</xdr:rowOff>
    </xdr:from>
    <xdr:to>
      <xdr:col>14</xdr:col>
      <xdr:colOff>693420</xdr:colOff>
      <xdr:row>6</xdr:row>
      <xdr:rowOff>22860</xdr:rowOff>
    </xdr:to>
    <xdr:sp macro="[0]!OuvrirRechercheFournisseur" textlink="">
      <xdr:nvSpPr>
        <xdr:cNvPr id="4" name="Rectangle 3">
          <a:extLst>
            <a:ext uri="{FF2B5EF4-FFF2-40B4-BE49-F238E27FC236}">
              <a16:creationId xmlns:a16="http://schemas.microsoft.com/office/drawing/2014/main" id="{A337C95E-64BD-09C9-42A0-A1E7A4DA97EF}"/>
            </a:ext>
          </a:extLst>
        </xdr:cNvPr>
        <xdr:cNvSpPr/>
      </xdr:nvSpPr>
      <xdr:spPr>
        <a:xfrm>
          <a:off x="7284720" y="746760"/>
          <a:ext cx="1341120" cy="37338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RECHERCHE</a:t>
          </a:r>
        </a:p>
      </xdr:txBody>
    </xdr:sp>
    <xdr:clientData/>
  </xdr:twoCellAnchor>
  <xdr:twoCellAnchor>
    <xdr:from>
      <xdr:col>23</xdr:col>
      <xdr:colOff>152400</xdr:colOff>
      <xdr:row>2</xdr:row>
      <xdr:rowOff>22860</xdr:rowOff>
    </xdr:from>
    <xdr:to>
      <xdr:col>24</xdr:col>
      <xdr:colOff>1043940</xdr:colOff>
      <xdr:row>5</xdr:row>
      <xdr:rowOff>152400</xdr:rowOff>
    </xdr:to>
    <xdr:sp macro="[0]!HistoriqueFournisseur" textlink="">
      <xdr:nvSpPr>
        <xdr:cNvPr id="5" name="Rectangle 4">
          <a:extLst>
            <a:ext uri="{FF2B5EF4-FFF2-40B4-BE49-F238E27FC236}">
              <a16:creationId xmlns:a16="http://schemas.microsoft.com/office/drawing/2014/main" id="{35A7661B-64CA-C6E4-4586-B5B3F85962CC}"/>
            </a:ext>
          </a:extLst>
        </xdr:cNvPr>
        <xdr:cNvSpPr/>
      </xdr:nvSpPr>
      <xdr:spPr>
        <a:xfrm>
          <a:off x="16512540" y="388620"/>
          <a:ext cx="1684020" cy="67818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HISTORIQUE D'APPROVISIONNEMENT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0</xdr:colOff>
      <xdr:row>21</xdr:row>
      <xdr:rowOff>7620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CE7E933-035D-403E-9616-B5A0989EE240}"/>
            </a:ext>
          </a:extLst>
        </xdr:cNvPr>
        <xdr:cNvSpPr/>
      </xdr:nvSpPr>
      <xdr:spPr>
        <a:xfrm>
          <a:off x="0" y="0"/>
          <a:ext cx="2217420" cy="3848100"/>
        </a:xfrm>
        <a:prstGeom prst="rect">
          <a:avLst/>
        </a:prstGeom>
        <a:gradFill>
          <a:gsLst>
            <a:gs pos="12000">
              <a:schemeClr val="tx2">
                <a:lumMod val="50000"/>
                <a:lumOff val="50000"/>
              </a:schemeClr>
            </a:gs>
            <a:gs pos="46000">
              <a:schemeClr val="accent2">
                <a:lumMod val="75000"/>
              </a:schemeClr>
            </a:gs>
            <a:gs pos="71000">
              <a:srgbClr val="00206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121920</xdr:rowOff>
    </xdr:from>
    <xdr:to>
      <xdr:col>6</xdr:col>
      <xdr:colOff>0</xdr:colOff>
      <xdr:row>9</xdr:row>
      <xdr:rowOff>106680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D93A457-CF0E-416F-9430-287364F3E2B8}"/>
            </a:ext>
          </a:extLst>
        </xdr:cNvPr>
        <xdr:cNvSpPr/>
      </xdr:nvSpPr>
      <xdr:spPr>
        <a:xfrm>
          <a:off x="0" y="1402080"/>
          <a:ext cx="2217420" cy="350520"/>
        </a:xfrm>
        <a:prstGeom prst="rect">
          <a:avLst/>
        </a:prstGeom>
        <a:solidFill>
          <a:srgbClr val="FFFF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464820</xdr:colOff>
      <xdr:row>17</xdr:row>
      <xdr:rowOff>15240</xdr:rowOff>
    </xdr:from>
    <xdr:to>
      <xdr:col>5</xdr:col>
      <xdr:colOff>556260</xdr:colOff>
      <xdr:row>19</xdr:row>
      <xdr:rowOff>38100</xdr:rowOff>
    </xdr:to>
    <xdr:sp macro="" textlink="">
      <xdr:nvSpPr>
        <xdr:cNvPr id="8" name="ZoneText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766C82-3AA8-475C-8A1D-EB92DB012343}"/>
            </a:ext>
          </a:extLst>
        </xdr:cNvPr>
        <xdr:cNvSpPr txBox="1"/>
      </xdr:nvSpPr>
      <xdr:spPr>
        <a:xfrm>
          <a:off x="464820" y="3124200"/>
          <a:ext cx="156972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TABLEAU</a:t>
          </a:r>
          <a:r>
            <a:rPr lang="en-GB" sz="1400" b="1" baseline="0">
              <a:solidFill>
                <a:schemeClr val="bg1"/>
              </a:solidFill>
            </a:rPr>
            <a:t> DE BORD</a:t>
          </a:r>
          <a:endParaRPr lang="en-GB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586740</xdr:colOff>
      <xdr:row>7</xdr:row>
      <xdr:rowOff>144780</xdr:rowOff>
    </xdr:from>
    <xdr:to>
      <xdr:col>5</xdr:col>
      <xdr:colOff>556260</xdr:colOff>
      <xdr:row>10</xdr:row>
      <xdr:rowOff>76200</xdr:rowOff>
    </xdr:to>
    <xdr:sp macro="" textlink="">
      <xdr:nvSpPr>
        <xdr:cNvPr id="10" name="ZoneText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F9F5F6-CD3F-434C-98BD-19BEB5234FB5}"/>
            </a:ext>
          </a:extLst>
        </xdr:cNvPr>
        <xdr:cNvSpPr txBox="1"/>
      </xdr:nvSpPr>
      <xdr:spPr>
        <a:xfrm>
          <a:off x="586740" y="14249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tx1"/>
              </a:solidFill>
            </a:rPr>
            <a:t>FOURNISSEUR</a:t>
          </a:r>
        </a:p>
      </xdr:txBody>
    </xdr:sp>
    <xdr:clientData/>
  </xdr:twoCellAnchor>
  <xdr:twoCellAnchor>
    <xdr:from>
      <xdr:col>3</xdr:col>
      <xdr:colOff>640080</xdr:colOff>
      <xdr:row>13</xdr:row>
      <xdr:rowOff>175260</xdr:rowOff>
    </xdr:from>
    <xdr:to>
      <xdr:col>5</xdr:col>
      <xdr:colOff>556260</xdr:colOff>
      <xdr:row>15</xdr:row>
      <xdr:rowOff>91440</xdr:rowOff>
    </xdr:to>
    <xdr:sp macro="" textlink="">
      <xdr:nvSpPr>
        <xdr:cNvPr id="11" name="ZoneText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4DF264D-2500-4B48-9BCB-6D3DECF0FB2C}"/>
            </a:ext>
          </a:extLst>
        </xdr:cNvPr>
        <xdr:cNvSpPr txBox="1"/>
      </xdr:nvSpPr>
      <xdr:spPr>
        <a:xfrm>
          <a:off x="640080" y="255270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COMMANDES</a:t>
          </a:r>
        </a:p>
      </xdr:txBody>
    </xdr:sp>
    <xdr:clientData/>
  </xdr:twoCellAnchor>
  <xdr:twoCellAnchor>
    <xdr:from>
      <xdr:col>3</xdr:col>
      <xdr:colOff>640080</xdr:colOff>
      <xdr:row>10</xdr:row>
      <xdr:rowOff>99060</xdr:rowOff>
    </xdr:from>
    <xdr:to>
      <xdr:col>5</xdr:col>
      <xdr:colOff>556260</xdr:colOff>
      <xdr:row>12</xdr:row>
      <xdr:rowOff>15240</xdr:rowOff>
    </xdr:to>
    <xdr:sp macro="" textlink="">
      <xdr:nvSpPr>
        <xdr:cNvPr id="12" name="ZoneTexte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620251-20A5-4D5E-9DCA-443CA5B3E92A}"/>
            </a:ext>
          </a:extLst>
        </xdr:cNvPr>
        <xdr:cNvSpPr txBox="1"/>
      </xdr:nvSpPr>
      <xdr:spPr>
        <a:xfrm>
          <a:off x="640080" y="192786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STOCK</a:t>
          </a:r>
        </a:p>
      </xdr:txBody>
    </xdr:sp>
    <xdr:clientData/>
  </xdr:twoCellAnchor>
  <xdr:twoCellAnchor>
    <xdr:from>
      <xdr:col>3</xdr:col>
      <xdr:colOff>586740</xdr:colOff>
      <xdr:row>4</xdr:row>
      <xdr:rowOff>160020</xdr:rowOff>
    </xdr:from>
    <xdr:to>
      <xdr:col>5</xdr:col>
      <xdr:colOff>556260</xdr:colOff>
      <xdr:row>7</xdr:row>
      <xdr:rowOff>91440</xdr:rowOff>
    </xdr:to>
    <xdr:sp macro="" textlink="">
      <xdr:nvSpPr>
        <xdr:cNvPr id="13" name="ZoneTexte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F9D3EA-82B4-4566-9F58-5DBC6D7A3702}"/>
            </a:ext>
          </a:extLst>
        </xdr:cNvPr>
        <xdr:cNvSpPr txBox="1"/>
      </xdr:nvSpPr>
      <xdr:spPr>
        <a:xfrm>
          <a:off x="586740" y="8915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ARTISAN</a:t>
          </a:r>
        </a:p>
      </xdr:txBody>
    </xdr:sp>
    <xdr:clientData/>
  </xdr:twoCellAnchor>
  <xdr:twoCellAnchor>
    <xdr:from>
      <xdr:col>3</xdr:col>
      <xdr:colOff>586740</xdr:colOff>
      <xdr:row>2</xdr:row>
      <xdr:rowOff>121920</xdr:rowOff>
    </xdr:from>
    <xdr:to>
      <xdr:col>5</xdr:col>
      <xdr:colOff>556260</xdr:colOff>
      <xdr:row>4</xdr:row>
      <xdr:rowOff>106680</xdr:rowOff>
    </xdr:to>
    <xdr:sp macro="" textlink="">
      <xdr:nvSpPr>
        <xdr:cNvPr id="14" name="ZoneTexte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27F47CC-F871-4E17-B5E3-3654B4EC2695}"/>
            </a:ext>
          </a:extLst>
        </xdr:cNvPr>
        <xdr:cNvSpPr txBox="1"/>
      </xdr:nvSpPr>
      <xdr:spPr>
        <a:xfrm>
          <a:off x="586740" y="487680"/>
          <a:ext cx="144780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 editAs="oneCell">
    <xdr:from>
      <xdr:col>3</xdr:col>
      <xdr:colOff>365760</xdr:colOff>
      <xdr:row>2</xdr:row>
      <xdr:rowOff>175260</xdr:rowOff>
    </xdr:from>
    <xdr:to>
      <xdr:col>3</xdr:col>
      <xdr:colOff>640080</xdr:colOff>
      <xdr:row>4</xdr:row>
      <xdr:rowOff>83820</xdr:rowOff>
    </xdr:to>
    <xdr:pic>
      <xdr:nvPicPr>
        <xdr:cNvPr id="15" name="Graphique 14" descr="Logement avec un remplissage uni">
          <a:extLst>
            <a:ext uri="{FF2B5EF4-FFF2-40B4-BE49-F238E27FC236}">
              <a16:creationId xmlns:a16="http://schemas.microsoft.com/office/drawing/2014/main" id="{26303193-BB7B-485C-99EE-DAF86A9D5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365760" y="54102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365760</xdr:colOff>
      <xdr:row>10</xdr:row>
      <xdr:rowOff>68580</xdr:rowOff>
    </xdr:from>
    <xdr:to>
      <xdr:col>3</xdr:col>
      <xdr:colOff>640080</xdr:colOff>
      <xdr:row>11</xdr:row>
      <xdr:rowOff>160020</xdr:rowOff>
    </xdr:to>
    <xdr:pic>
      <xdr:nvPicPr>
        <xdr:cNvPr id="16" name="Graphique 15" descr="Boîte avec un remplissage uni">
          <a:extLst>
            <a:ext uri="{FF2B5EF4-FFF2-40B4-BE49-F238E27FC236}">
              <a16:creationId xmlns:a16="http://schemas.microsoft.com/office/drawing/2014/main" id="{D5A2508F-5FB6-4557-B496-F635EAF10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 flipH="1">
          <a:off x="365760" y="1897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365760</xdr:colOff>
      <xdr:row>13</xdr:row>
      <xdr:rowOff>76200</xdr:rowOff>
    </xdr:from>
    <xdr:to>
      <xdr:col>3</xdr:col>
      <xdr:colOff>640080</xdr:colOff>
      <xdr:row>14</xdr:row>
      <xdr:rowOff>167640</xdr:rowOff>
    </xdr:to>
    <xdr:pic>
      <xdr:nvPicPr>
        <xdr:cNvPr id="17" name="Graphique 16" descr="Presse-papiers vérifié avec un remplissage uni">
          <a:extLst>
            <a:ext uri="{FF2B5EF4-FFF2-40B4-BE49-F238E27FC236}">
              <a16:creationId xmlns:a16="http://schemas.microsoft.com/office/drawing/2014/main" id="{AC9BF7DC-BB90-4843-94CA-B6C52B09B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 flipH="1">
          <a:off x="365760" y="245364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251460</xdr:colOff>
      <xdr:row>16</xdr:row>
      <xdr:rowOff>114300</xdr:rowOff>
    </xdr:from>
    <xdr:to>
      <xdr:col>3</xdr:col>
      <xdr:colOff>525780</xdr:colOff>
      <xdr:row>18</xdr:row>
      <xdr:rowOff>22860</xdr:rowOff>
    </xdr:to>
    <xdr:pic>
      <xdr:nvPicPr>
        <xdr:cNvPr id="18" name="Graphique 17" descr="Signal avec un remplissage uni">
          <a:extLst>
            <a:ext uri="{FF2B5EF4-FFF2-40B4-BE49-F238E27FC236}">
              <a16:creationId xmlns:a16="http://schemas.microsoft.com/office/drawing/2014/main" id="{18265401-F881-440A-844B-109866DDA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 flipH="1">
          <a:off x="251460" y="3040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365760</xdr:colOff>
      <xdr:row>5</xdr:row>
      <xdr:rowOff>0</xdr:rowOff>
    </xdr:from>
    <xdr:to>
      <xdr:col>3</xdr:col>
      <xdr:colOff>640080</xdr:colOff>
      <xdr:row>6</xdr:row>
      <xdr:rowOff>91440</xdr:rowOff>
    </xdr:to>
    <xdr:pic>
      <xdr:nvPicPr>
        <xdr:cNvPr id="19" name="Graphique 18" descr="Homme ouvrier du bâtiment avec un remplissage uni">
          <a:extLst>
            <a:ext uri="{FF2B5EF4-FFF2-40B4-BE49-F238E27FC236}">
              <a16:creationId xmlns:a16="http://schemas.microsoft.com/office/drawing/2014/main" id="{168BAF40-B374-4D2E-B9F2-A1F17B5CB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 flipH="1">
          <a:off x="365760" y="914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365760</xdr:colOff>
      <xdr:row>7</xdr:row>
      <xdr:rowOff>167640</xdr:rowOff>
    </xdr:from>
    <xdr:to>
      <xdr:col>3</xdr:col>
      <xdr:colOff>640080</xdr:colOff>
      <xdr:row>9</xdr:row>
      <xdr:rowOff>76200</xdr:rowOff>
    </xdr:to>
    <xdr:pic>
      <xdr:nvPicPr>
        <xdr:cNvPr id="20" name="Graphique 19" descr="Camion-benne avec un remplissage uni">
          <a:extLst>
            <a:ext uri="{FF2B5EF4-FFF2-40B4-BE49-F238E27FC236}">
              <a16:creationId xmlns:a16="http://schemas.microsoft.com/office/drawing/2014/main" id="{9080939B-FA95-4FAA-AB89-361CC338B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 flipH="1">
          <a:off x="365760" y="1447800"/>
          <a:ext cx="274320" cy="274320"/>
        </a:xfrm>
        <a:prstGeom prst="rect">
          <a:avLst/>
        </a:prstGeom>
      </xdr:spPr>
    </xdr:pic>
    <xdr:clientData/>
  </xdr:twoCellAnchor>
  <xdr:twoCellAnchor>
    <xdr:from>
      <xdr:col>5</xdr:col>
      <xdr:colOff>451140</xdr:colOff>
      <xdr:row>0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800A9058-4161-4FDB-96DA-D3ACF739182F}"/>
            </a:ext>
          </a:extLst>
        </xdr:cNvPr>
        <xdr:cNvSpPr/>
      </xdr:nvSpPr>
      <xdr:spPr>
        <a:xfrm>
          <a:off x="1929420" y="0"/>
          <a:ext cx="288000" cy="3840480"/>
        </a:xfrm>
        <a:prstGeom prst="rect">
          <a:avLst/>
        </a:prstGeom>
        <a:gradFill>
          <a:gsLst>
            <a:gs pos="12000">
              <a:srgbClr val="FFFF00"/>
            </a:gs>
            <a:gs pos="46000">
              <a:srgbClr val="FFC000"/>
            </a:gs>
            <a:gs pos="71000">
              <a:srgbClr val="FFFF0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0</xdr:row>
      <xdr:rowOff>99060</xdr:rowOff>
    </xdr:from>
    <xdr:to>
      <xdr:col>9</xdr:col>
      <xdr:colOff>708660</xdr:colOff>
      <xdr:row>2</xdr:row>
      <xdr:rowOff>91440</xdr:rowOff>
    </xdr:to>
    <xdr:sp macro="[0]!AfficherClients" textlink="">
      <xdr:nvSpPr>
        <xdr:cNvPr id="2" name="Rectangle 1">
          <a:extLst>
            <a:ext uri="{FF2B5EF4-FFF2-40B4-BE49-F238E27FC236}">
              <a16:creationId xmlns:a16="http://schemas.microsoft.com/office/drawing/2014/main" id="{B4102DA6-1765-4B67-E56E-042D0698CBAB}"/>
            </a:ext>
          </a:extLst>
        </xdr:cNvPr>
        <xdr:cNvSpPr/>
      </xdr:nvSpPr>
      <xdr:spPr>
        <a:xfrm>
          <a:off x="7292340" y="99060"/>
          <a:ext cx="1424940" cy="35814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LISTE</a:t>
          </a:r>
          <a:r>
            <a:rPr lang="en-GB" sz="1100" baseline="0">
              <a:solidFill>
                <a:schemeClr val="tx1"/>
              </a:solidFill>
            </a:rPr>
            <a:t> CLIENT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274320</xdr:colOff>
      <xdr:row>3</xdr:row>
      <xdr:rowOff>76200</xdr:rowOff>
    </xdr:from>
    <xdr:to>
      <xdr:col>9</xdr:col>
      <xdr:colOff>518160</xdr:colOff>
      <xdr:row>5</xdr:row>
      <xdr:rowOff>60960</xdr:rowOff>
    </xdr:to>
    <xdr:sp macro="[0]!FermerClients" textlink="">
      <xdr:nvSpPr>
        <xdr:cNvPr id="3" name="Rectangle 2">
          <a:extLst>
            <a:ext uri="{FF2B5EF4-FFF2-40B4-BE49-F238E27FC236}">
              <a16:creationId xmlns:a16="http://schemas.microsoft.com/office/drawing/2014/main" id="{FB40AE25-F7CD-8183-BC1D-64693CD5DF32}"/>
            </a:ext>
          </a:extLst>
        </xdr:cNvPr>
        <xdr:cNvSpPr/>
      </xdr:nvSpPr>
      <xdr:spPr>
        <a:xfrm>
          <a:off x="7490460" y="624840"/>
          <a:ext cx="1036320" cy="35052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FERMER</a:t>
          </a:r>
          <a:r>
            <a:rPr lang="en-GB" sz="1100" baseline="0">
              <a:solidFill>
                <a:schemeClr val="tx1"/>
              </a:solidFill>
            </a:rPr>
            <a:t> LISTE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106680</xdr:colOff>
      <xdr:row>10</xdr:row>
      <xdr:rowOff>83820</xdr:rowOff>
    </xdr:from>
    <xdr:to>
      <xdr:col>9</xdr:col>
      <xdr:colOff>662940</xdr:colOff>
      <xdr:row>13</xdr:row>
      <xdr:rowOff>144780</xdr:rowOff>
    </xdr:to>
    <xdr:sp macro="[0]!OuvrirAjouterClient" textlink="">
      <xdr:nvSpPr>
        <xdr:cNvPr id="5" name="Rectangle 4">
          <a:extLst>
            <a:ext uri="{FF2B5EF4-FFF2-40B4-BE49-F238E27FC236}">
              <a16:creationId xmlns:a16="http://schemas.microsoft.com/office/drawing/2014/main" id="{8DFE7792-FDC5-8E3D-F6BD-0136B34A5BB3}"/>
            </a:ext>
          </a:extLst>
        </xdr:cNvPr>
        <xdr:cNvSpPr/>
      </xdr:nvSpPr>
      <xdr:spPr>
        <a:xfrm>
          <a:off x="7322820" y="1912620"/>
          <a:ext cx="1348740" cy="60960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chemeClr val="tx1"/>
              </a:solidFill>
            </a:rPr>
            <a:t>CREER</a:t>
          </a:r>
          <a:r>
            <a:rPr lang="en-GB" sz="1200" b="1" baseline="0">
              <a:solidFill>
                <a:schemeClr val="tx1"/>
              </a:solidFill>
            </a:rPr>
            <a:t> UN COMPTE</a:t>
          </a:r>
          <a:endParaRPr lang="en-GB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91440</xdr:colOff>
      <xdr:row>1</xdr:row>
      <xdr:rowOff>68580</xdr:rowOff>
    </xdr:from>
    <xdr:to>
      <xdr:col>20</xdr:col>
      <xdr:colOff>731520</xdr:colOff>
      <xdr:row>3</xdr:row>
      <xdr:rowOff>38100</xdr:rowOff>
    </xdr:to>
    <xdr:sp macro="[0]!OuvrirHistoriqueClient" textlink="">
      <xdr:nvSpPr>
        <xdr:cNvPr id="6" name="Rectangle 5">
          <a:extLst>
            <a:ext uri="{FF2B5EF4-FFF2-40B4-BE49-F238E27FC236}">
              <a16:creationId xmlns:a16="http://schemas.microsoft.com/office/drawing/2014/main" id="{0F8A865F-81D3-0C75-F661-166DC63F883A}"/>
            </a:ext>
          </a:extLst>
        </xdr:cNvPr>
        <xdr:cNvSpPr/>
      </xdr:nvSpPr>
      <xdr:spPr>
        <a:xfrm>
          <a:off x="17640300" y="251460"/>
          <a:ext cx="1432560" cy="33528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HISTORIQUE</a:t>
          </a:r>
          <a:r>
            <a:rPr lang="en-GB" sz="1100" baseline="0">
              <a:solidFill>
                <a:schemeClr val="tx1"/>
              </a:solidFill>
            </a:rPr>
            <a:t> CLIENT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21</xdr:row>
      <xdr:rowOff>7620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99867F66-7E62-403F-A0B9-CA9180D004A3}"/>
            </a:ext>
          </a:extLst>
        </xdr:cNvPr>
        <xdr:cNvSpPr/>
      </xdr:nvSpPr>
      <xdr:spPr>
        <a:xfrm>
          <a:off x="0" y="0"/>
          <a:ext cx="2217420" cy="3848100"/>
        </a:xfrm>
        <a:prstGeom prst="rect">
          <a:avLst/>
        </a:prstGeom>
        <a:gradFill>
          <a:gsLst>
            <a:gs pos="12000">
              <a:schemeClr val="tx2">
                <a:lumMod val="50000"/>
                <a:lumOff val="50000"/>
              </a:schemeClr>
            </a:gs>
            <a:gs pos="46000">
              <a:schemeClr val="accent2">
                <a:lumMod val="75000"/>
              </a:schemeClr>
            </a:gs>
            <a:gs pos="71000">
              <a:srgbClr val="00206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38100</xdr:rowOff>
    </xdr:from>
    <xdr:to>
      <xdr:col>3</xdr:col>
      <xdr:colOff>0</xdr:colOff>
      <xdr:row>12</xdr:row>
      <xdr:rowOff>22860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6D7253C-5E4A-4351-8A46-3CC37DCC8219}"/>
            </a:ext>
          </a:extLst>
        </xdr:cNvPr>
        <xdr:cNvSpPr/>
      </xdr:nvSpPr>
      <xdr:spPr>
        <a:xfrm>
          <a:off x="0" y="1866900"/>
          <a:ext cx="2217420" cy="350520"/>
        </a:xfrm>
        <a:prstGeom prst="rect">
          <a:avLst/>
        </a:prstGeom>
        <a:solidFill>
          <a:srgbClr val="FFFF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464820</xdr:colOff>
      <xdr:row>17</xdr:row>
      <xdr:rowOff>15240</xdr:rowOff>
    </xdr:from>
    <xdr:to>
      <xdr:col>2</xdr:col>
      <xdr:colOff>556260</xdr:colOff>
      <xdr:row>19</xdr:row>
      <xdr:rowOff>38100</xdr:rowOff>
    </xdr:to>
    <xdr:sp macro="" textlink="">
      <xdr:nvSpPr>
        <xdr:cNvPr id="9" name="ZoneText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E16E95-7FC2-4407-9477-461379ECC86B}"/>
            </a:ext>
          </a:extLst>
        </xdr:cNvPr>
        <xdr:cNvSpPr txBox="1"/>
      </xdr:nvSpPr>
      <xdr:spPr>
        <a:xfrm>
          <a:off x="464820" y="3124200"/>
          <a:ext cx="156972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TABLEAU</a:t>
          </a:r>
          <a:r>
            <a:rPr lang="en-GB" sz="1400" b="1" baseline="0">
              <a:solidFill>
                <a:schemeClr val="bg1"/>
              </a:solidFill>
            </a:rPr>
            <a:t> DE BORD</a:t>
          </a:r>
          <a:endParaRPr lang="en-GB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586740</xdr:colOff>
      <xdr:row>7</xdr:row>
      <xdr:rowOff>144780</xdr:rowOff>
    </xdr:from>
    <xdr:to>
      <xdr:col>2</xdr:col>
      <xdr:colOff>556260</xdr:colOff>
      <xdr:row>10</xdr:row>
      <xdr:rowOff>76200</xdr:rowOff>
    </xdr:to>
    <xdr:sp macro="" textlink="">
      <xdr:nvSpPr>
        <xdr:cNvPr id="10" name="ZoneText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6C80BF-AFBC-4034-AE56-5B1D9F05D221}"/>
            </a:ext>
          </a:extLst>
        </xdr:cNvPr>
        <xdr:cNvSpPr txBox="1"/>
      </xdr:nvSpPr>
      <xdr:spPr>
        <a:xfrm>
          <a:off x="586740" y="14249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FOURNISSEUR</a:t>
          </a:r>
        </a:p>
      </xdr:txBody>
    </xdr:sp>
    <xdr:clientData/>
  </xdr:twoCellAnchor>
  <xdr:twoCellAnchor>
    <xdr:from>
      <xdr:col>0</xdr:col>
      <xdr:colOff>640080</xdr:colOff>
      <xdr:row>13</xdr:row>
      <xdr:rowOff>175260</xdr:rowOff>
    </xdr:from>
    <xdr:to>
      <xdr:col>2</xdr:col>
      <xdr:colOff>556260</xdr:colOff>
      <xdr:row>15</xdr:row>
      <xdr:rowOff>91440</xdr:rowOff>
    </xdr:to>
    <xdr:sp macro="" textlink="">
      <xdr:nvSpPr>
        <xdr:cNvPr id="11" name="ZoneText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CC68D49-C5AF-437A-9EE5-CCA6B3BDE50B}"/>
            </a:ext>
          </a:extLst>
        </xdr:cNvPr>
        <xdr:cNvSpPr txBox="1"/>
      </xdr:nvSpPr>
      <xdr:spPr>
        <a:xfrm>
          <a:off x="640080" y="255270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COMMANDES</a:t>
          </a:r>
        </a:p>
      </xdr:txBody>
    </xdr:sp>
    <xdr:clientData/>
  </xdr:twoCellAnchor>
  <xdr:twoCellAnchor>
    <xdr:from>
      <xdr:col>0</xdr:col>
      <xdr:colOff>640080</xdr:colOff>
      <xdr:row>10</xdr:row>
      <xdr:rowOff>99060</xdr:rowOff>
    </xdr:from>
    <xdr:to>
      <xdr:col>2</xdr:col>
      <xdr:colOff>556260</xdr:colOff>
      <xdr:row>12</xdr:row>
      <xdr:rowOff>15240</xdr:rowOff>
    </xdr:to>
    <xdr:sp macro="" textlink="">
      <xdr:nvSpPr>
        <xdr:cNvPr id="12" name="ZoneTexte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C7FDB3-B4B0-4920-94D2-7D7EA90DBD02}"/>
            </a:ext>
          </a:extLst>
        </xdr:cNvPr>
        <xdr:cNvSpPr txBox="1"/>
      </xdr:nvSpPr>
      <xdr:spPr>
        <a:xfrm>
          <a:off x="640080" y="192786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STOCK</a:t>
          </a:r>
        </a:p>
      </xdr:txBody>
    </xdr:sp>
    <xdr:clientData/>
  </xdr:twoCellAnchor>
  <xdr:twoCellAnchor>
    <xdr:from>
      <xdr:col>0</xdr:col>
      <xdr:colOff>586740</xdr:colOff>
      <xdr:row>4</xdr:row>
      <xdr:rowOff>160020</xdr:rowOff>
    </xdr:from>
    <xdr:to>
      <xdr:col>2</xdr:col>
      <xdr:colOff>556260</xdr:colOff>
      <xdr:row>7</xdr:row>
      <xdr:rowOff>91440</xdr:rowOff>
    </xdr:to>
    <xdr:sp macro="" textlink="">
      <xdr:nvSpPr>
        <xdr:cNvPr id="13" name="ZoneTexte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D7E67-D461-49AE-B9B5-E5DD0E9BBE73}"/>
            </a:ext>
          </a:extLst>
        </xdr:cNvPr>
        <xdr:cNvSpPr txBox="1"/>
      </xdr:nvSpPr>
      <xdr:spPr>
        <a:xfrm>
          <a:off x="586740" y="8915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ARTISAN</a:t>
          </a:r>
        </a:p>
      </xdr:txBody>
    </xdr:sp>
    <xdr:clientData/>
  </xdr:twoCellAnchor>
  <xdr:twoCellAnchor>
    <xdr:from>
      <xdr:col>0</xdr:col>
      <xdr:colOff>586740</xdr:colOff>
      <xdr:row>2</xdr:row>
      <xdr:rowOff>121920</xdr:rowOff>
    </xdr:from>
    <xdr:to>
      <xdr:col>2</xdr:col>
      <xdr:colOff>556260</xdr:colOff>
      <xdr:row>4</xdr:row>
      <xdr:rowOff>106680</xdr:rowOff>
    </xdr:to>
    <xdr:sp macro="" textlink="">
      <xdr:nvSpPr>
        <xdr:cNvPr id="14" name="ZoneTexte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09D2C05-F22F-4604-AD41-EE7C60B576C1}"/>
            </a:ext>
          </a:extLst>
        </xdr:cNvPr>
        <xdr:cNvSpPr txBox="1"/>
      </xdr:nvSpPr>
      <xdr:spPr>
        <a:xfrm>
          <a:off x="586740" y="487680"/>
          <a:ext cx="144780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 editAs="oneCell">
    <xdr:from>
      <xdr:col>0</xdr:col>
      <xdr:colOff>365760</xdr:colOff>
      <xdr:row>2</xdr:row>
      <xdr:rowOff>175260</xdr:rowOff>
    </xdr:from>
    <xdr:to>
      <xdr:col>0</xdr:col>
      <xdr:colOff>640080</xdr:colOff>
      <xdr:row>4</xdr:row>
      <xdr:rowOff>83820</xdr:rowOff>
    </xdr:to>
    <xdr:pic>
      <xdr:nvPicPr>
        <xdr:cNvPr id="15" name="Graphique 14" descr="Logement avec un remplissage uni">
          <a:extLst>
            <a:ext uri="{FF2B5EF4-FFF2-40B4-BE49-F238E27FC236}">
              <a16:creationId xmlns:a16="http://schemas.microsoft.com/office/drawing/2014/main" id="{93BCAF34-ACD0-4EBE-ADB6-5B07922A1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365760" y="54102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10</xdr:row>
      <xdr:rowOff>68580</xdr:rowOff>
    </xdr:from>
    <xdr:to>
      <xdr:col>0</xdr:col>
      <xdr:colOff>640080</xdr:colOff>
      <xdr:row>11</xdr:row>
      <xdr:rowOff>160020</xdr:rowOff>
    </xdr:to>
    <xdr:pic>
      <xdr:nvPicPr>
        <xdr:cNvPr id="16" name="Graphique 15" descr="Boîte avec un remplissage uni">
          <a:extLst>
            <a:ext uri="{FF2B5EF4-FFF2-40B4-BE49-F238E27FC236}">
              <a16:creationId xmlns:a16="http://schemas.microsoft.com/office/drawing/2014/main" id="{E76D595F-FEA4-4718-A066-363DAE595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 flipH="1">
          <a:off x="365760" y="1897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13</xdr:row>
      <xdr:rowOff>76200</xdr:rowOff>
    </xdr:from>
    <xdr:to>
      <xdr:col>0</xdr:col>
      <xdr:colOff>640080</xdr:colOff>
      <xdr:row>14</xdr:row>
      <xdr:rowOff>167640</xdr:rowOff>
    </xdr:to>
    <xdr:pic>
      <xdr:nvPicPr>
        <xdr:cNvPr id="17" name="Graphique 16" descr="Presse-papiers vérifié avec un remplissage uni">
          <a:extLst>
            <a:ext uri="{FF2B5EF4-FFF2-40B4-BE49-F238E27FC236}">
              <a16:creationId xmlns:a16="http://schemas.microsoft.com/office/drawing/2014/main" id="{1EEB561F-64EC-4915-835A-E8BC87133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 flipH="1">
          <a:off x="365760" y="245364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251460</xdr:colOff>
      <xdr:row>16</xdr:row>
      <xdr:rowOff>114300</xdr:rowOff>
    </xdr:from>
    <xdr:to>
      <xdr:col>0</xdr:col>
      <xdr:colOff>525780</xdr:colOff>
      <xdr:row>18</xdr:row>
      <xdr:rowOff>22860</xdr:rowOff>
    </xdr:to>
    <xdr:pic>
      <xdr:nvPicPr>
        <xdr:cNvPr id="18" name="Graphique 17" descr="Signal avec un remplissage uni">
          <a:extLst>
            <a:ext uri="{FF2B5EF4-FFF2-40B4-BE49-F238E27FC236}">
              <a16:creationId xmlns:a16="http://schemas.microsoft.com/office/drawing/2014/main" id="{4BBCAF4B-A785-49A4-B50F-87FD6E3ED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 flipH="1">
          <a:off x="251460" y="3040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5</xdr:row>
      <xdr:rowOff>0</xdr:rowOff>
    </xdr:from>
    <xdr:to>
      <xdr:col>0</xdr:col>
      <xdr:colOff>640080</xdr:colOff>
      <xdr:row>6</xdr:row>
      <xdr:rowOff>91440</xdr:rowOff>
    </xdr:to>
    <xdr:pic>
      <xdr:nvPicPr>
        <xdr:cNvPr id="19" name="Graphique 18" descr="Homme ouvrier du bâtiment avec un remplissage uni">
          <a:extLst>
            <a:ext uri="{FF2B5EF4-FFF2-40B4-BE49-F238E27FC236}">
              <a16:creationId xmlns:a16="http://schemas.microsoft.com/office/drawing/2014/main" id="{BCBACA1C-2BA5-4B27-8F94-B8595E20A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 flipH="1">
          <a:off x="365760" y="914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7</xdr:row>
      <xdr:rowOff>167640</xdr:rowOff>
    </xdr:from>
    <xdr:to>
      <xdr:col>0</xdr:col>
      <xdr:colOff>640080</xdr:colOff>
      <xdr:row>9</xdr:row>
      <xdr:rowOff>76200</xdr:rowOff>
    </xdr:to>
    <xdr:pic>
      <xdr:nvPicPr>
        <xdr:cNvPr id="20" name="Graphique 19" descr="Camion-benne avec un remplissage uni">
          <a:extLst>
            <a:ext uri="{FF2B5EF4-FFF2-40B4-BE49-F238E27FC236}">
              <a16:creationId xmlns:a16="http://schemas.microsoft.com/office/drawing/2014/main" id="{3E1DA5DC-DEB6-4740-B1B4-CBDA966FF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 flipH="1">
          <a:off x="365760" y="1447800"/>
          <a:ext cx="274320" cy="274320"/>
        </a:xfrm>
        <a:prstGeom prst="rect">
          <a:avLst/>
        </a:prstGeom>
      </xdr:spPr>
    </xdr:pic>
    <xdr:clientData/>
  </xdr:twoCellAnchor>
  <xdr:twoCellAnchor>
    <xdr:from>
      <xdr:col>2</xdr:col>
      <xdr:colOff>451140</xdr:colOff>
      <xdr:row>0</xdr:row>
      <xdr:rowOff>0</xdr:rowOff>
    </xdr:from>
    <xdr:to>
      <xdr:col>3</xdr:col>
      <xdr:colOff>0</xdr:colOff>
      <xdr:row>21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382A298-B638-4368-B77C-6706984165A7}"/>
            </a:ext>
          </a:extLst>
        </xdr:cNvPr>
        <xdr:cNvSpPr/>
      </xdr:nvSpPr>
      <xdr:spPr>
        <a:xfrm>
          <a:off x="1929420" y="0"/>
          <a:ext cx="288000" cy="3840480"/>
        </a:xfrm>
        <a:prstGeom prst="rect">
          <a:avLst/>
        </a:prstGeom>
        <a:gradFill>
          <a:gsLst>
            <a:gs pos="12000">
              <a:srgbClr val="FFFF00"/>
            </a:gs>
            <a:gs pos="46000">
              <a:srgbClr val="FFC000"/>
            </a:gs>
            <a:gs pos="71000">
              <a:srgbClr val="FFFF0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167640</xdr:colOff>
      <xdr:row>1</xdr:row>
      <xdr:rowOff>22860</xdr:rowOff>
    </xdr:from>
    <xdr:to>
      <xdr:col>9</xdr:col>
      <xdr:colOff>731520</xdr:colOff>
      <xdr:row>3</xdr:row>
      <xdr:rowOff>68580</xdr:rowOff>
    </xdr:to>
    <xdr:sp macro="[0]!OuvrirListeCommande" textlink="">
      <xdr:nvSpPr>
        <xdr:cNvPr id="2" name="Rectangle 1">
          <a:extLst>
            <a:ext uri="{FF2B5EF4-FFF2-40B4-BE49-F238E27FC236}">
              <a16:creationId xmlns:a16="http://schemas.microsoft.com/office/drawing/2014/main" id="{9358CF0B-D4FD-FC2B-08D4-3E3AF5E99560}"/>
            </a:ext>
          </a:extLst>
        </xdr:cNvPr>
        <xdr:cNvSpPr/>
      </xdr:nvSpPr>
      <xdr:spPr>
        <a:xfrm>
          <a:off x="7178040" y="388620"/>
          <a:ext cx="1386840" cy="41148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COMMANDE</a:t>
          </a:r>
        </a:p>
      </xdr:txBody>
    </xdr:sp>
    <xdr:clientData/>
  </xdr:twoCellAnchor>
  <xdr:twoCellAnchor>
    <xdr:from>
      <xdr:col>13</xdr:col>
      <xdr:colOff>106680</xdr:colOff>
      <xdr:row>4</xdr:row>
      <xdr:rowOff>68580</xdr:rowOff>
    </xdr:from>
    <xdr:to>
      <xdr:col>14</xdr:col>
      <xdr:colOff>571500</xdr:colOff>
      <xdr:row>8</xdr:row>
      <xdr:rowOff>144780</xdr:rowOff>
    </xdr:to>
    <xdr:sp macro="[0]!AfficherReductionCommande" textlink="">
      <xdr:nvSpPr>
        <xdr:cNvPr id="3" name="Rectangle 2">
          <a:extLst>
            <a:ext uri="{FF2B5EF4-FFF2-40B4-BE49-F238E27FC236}">
              <a16:creationId xmlns:a16="http://schemas.microsoft.com/office/drawing/2014/main" id="{91B4A412-0F34-F2EA-0EED-D65968AE3719}"/>
            </a:ext>
          </a:extLst>
        </xdr:cNvPr>
        <xdr:cNvSpPr/>
      </xdr:nvSpPr>
      <xdr:spPr>
        <a:xfrm>
          <a:off x="11536680" y="982980"/>
          <a:ext cx="1257300" cy="80772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COMMANDES À</a:t>
          </a:r>
          <a:r>
            <a:rPr lang="en-GB" sz="1100" baseline="0">
              <a:solidFill>
                <a:schemeClr val="tx1"/>
              </a:solidFill>
            </a:rPr>
            <a:t> REDUCTION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228600</xdr:colOff>
      <xdr:row>11</xdr:row>
      <xdr:rowOff>129540</xdr:rowOff>
    </xdr:from>
    <xdr:to>
      <xdr:col>17</xdr:col>
      <xdr:colOff>586740</xdr:colOff>
      <xdr:row>16</xdr:row>
      <xdr:rowOff>38100</xdr:rowOff>
    </xdr:to>
    <xdr:sp macro="[0]!Ouvrircommandesregion.Ouvrircommandesregio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18BBC1F9-4366-B024-AB12-BF711A3D8729}"/>
            </a:ext>
          </a:extLst>
        </xdr:cNvPr>
        <xdr:cNvSpPr/>
      </xdr:nvSpPr>
      <xdr:spPr>
        <a:xfrm>
          <a:off x="13243560" y="2324100"/>
          <a:ext cx="1943100" cy="82296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COMMANDE</a:t>
          </a:r>
          <a:r>
            <a:rPr lang="en-GB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TERMINER PAR ARTISAN &amp; REGION</a:t>
          </a:r>
          <a:endParaRPr lang="en-GB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21</xdr:row>
      <xdr:rowOff>7620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654C3C9-A945-4D2A-8429-08D7AE7DB059}"/>
            </a:ext>
          </a:extLst>
        </xdr:cNvPr>
        <xdr:cNvSpPr/>
      </xdr:nvSpPr>
      <xdr:spPr>
        <a:xfrm>
          <a:off x="0" y="0"/>
          <a:ext cx="2217420" cy="3848100"/>
        </a:xfrm>
        <a:prstGeom prst="rect">
          <a:avLst/>
        </a:prstGeom>
        <a:gradFill>
          <a:gsLst>
            <a:gs pos="12000">
              <a:schemeClr val="tx2">
                <a:lumMod val="50000"/>
                <a:lumOff val="50000"/>
              </a:schemeClr>
            </a:gs>
            <a:gs pos="46000">
              <a:schemeClr val="accent2">
                <a:lumMod val="75000"/>
              </a:schemeClr>
            </a:gs>
            <a:gs pos="71000">
              <a:srgbClr val="00206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13</xdr:row>
      <xdr:rowOff>83820</xdr:rowOff>
    </xdr:from>
    <xdr:to>
      <xdr:col>3</xdr:col>
      <xdr:colOff>0</xdr:colOff>
      <xdr:row>15</xdr:row>
      <xdr:rowOff>68580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4925CA1-73E5-495E-B1FC-71D8EBFEF974}"/>
            </a:ext>
          </a:extLst>
        </xdr:cNvPr>
        <xdr:cNvSpPr/>
      </xdr:nvSpPr>
      <xdr:spPr>
        <a:xfrm>
          <a:off x="0" y="2644140"/>
          <a:ext cx="2217420" cy="350520"/>
        </a:xfrm>
        <a:prstGeom prst="rect">
          <a:avLst/>
        </a:prstGeom>
        <a:solidFill>
          <a:srgbClr val="FFFF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464820</xdr:colOff>
      <xdr:row>17</xdr:row>
      <xdr:rowOff>15240</xdr:rowOff>
    </xdr:from>
    <xdr:to>
      <xdr:col>2</xdr:col>
      <xdr:colOff>556260</xdr:colOff>
      <xdr:row>19</xdr:row>
      <xdr:rowOff>38100</xdr:rowOff>
    </xdr:to>
    <xdr:sp macro="" textlink="">
      <xdr:nvSpPr>
        <xdr:cNvPr id="8" name="ZoneText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A680B8-F423-4285-BC47-8FEA91FD239D}"/>
            </a:ext>
          </a:extLst>
        </xdr:cNvPr>
        <xdr:cNvSpPr txBox="1"/>
      </xdr:nvSpPr>
      <xdr:spPr>
        <a:xfrm>
          <a:off x="464820" y="3124200"/>
          <a:ext cx="156972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TABLEAU</a:t>
          </a:r>
          <a:r>
            <a:rPr lang="en-GB" sz="1400" b="1" baseline="0">
              <a:solidFill>
                <a:schemeClr val="bg1"/>
              </a:solidFill>
            </a:rPr>
            <a:t> DE BORD</a:t>
          </a:r>
          <a:endParaRPr lang="en-GB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586740</xdr:colOff>
      <xdr:row>7</xdr:row>
      <xdr:rowOff>144780</xdr:rowOff>
    </xdr:from>
    <xdr:to>
      <xdr:col>2</xdr:col>
      <xdr:colOff>556260</xdr:colOff>
      <xdr:row>10</xdr:row>
      <xdr:rowOff>76200</xdr:rowOff>
    </xdr:to>
    <xdr:sp macro="" textlink="">
      <xdr:nvSpPr>
        <xdr:cNvPr id="9" name="ZoneText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6BD306-0B6E-4A02-959C-7A171B071EB7}"/>
            </a:ext>
          </a:extLst>
        </xdr:cNvPr>
        <xdr:cNvSpPr txBox="1"/>
      </xdr:nvSpPr>
      <xdr:spPr>
        <a:xfrm>
          <a:off x="586740" y="14249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FOURNISSEUR</a:t>
          </a:r>
        </a:p>
      </xdr:txBody>
    </xdr:sp>
    <xdr:clientData/>
  </xdr:twoCellAnchor>
  <xdr:twoCellAnchor>
    <xdr:from>
      <xdr:col>0</xdr:col>
      <xdr:colOff>640080</xdr:colOff>
      <xdr:row>13</xdr:row>
      <xdr:rowOff>175260</xdr:rowOff>
    </xdr:from>
    <xdr:to>
      <xdr:col>2</xdr:col>
      <xdr:colOff>556260</xdr:colOff>
      <xdr:row>15</xdr:row>
      <xdr:rowOff>91440</xdr:rowOff>
    </xdr:to>
    <xdr:sp macro="" textlink="">
      <xdr:nvSpPr>
        <xdr:cNvPr id="10" name="ZoneText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3FAD81-50BD-4AF8-AF9D-D7631AB35F0F}"/>
            </a:ext>
          </a:extLst>
        </xdr:cNvPr>
        <xdr:cNvSpPr txBox="1"/>
      </xdr:nvSpPr>
      <xdr:spPr>
        <a:xfrm>
          <a:off x="640080" y="255270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COMMANDES</a:t>
          </a:r>
        </a:p>
      </xdr:txBody>
    </xdr:sp>
    <xdr:clientData/>
  </xdr:twoCellAnchor>
  <xdr:twoCellAnchor>
    <xdr:from>
      <xdr:col>0</xdr:col>
      <xdr:colOff>640080</xdr:colOff>
      <xdr:row>10</xdr:row>
      <xdr:rowOff>99060</xdr:rowOff>
    </xdr:from>
    <xdr:to>
      <xdr:col>2</xdr:col>
      <xdr:colOff>556260</xdr:colOff>
      <xdr:row>12</xdr:row>
      <xdr:rowOff>15240</xdr:rowOff>
    </xdr:to>
    <xdr:sp macro="" textlink="">
      <xdr:nvSpPr>
        <xdr:cNvPr id="11" name="ZoneText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C3394B4-08A4-4627-8871-DC34AB73ED95}"/>
            </a:ext>
          </a:extLst>
        </xdr:cNvPr>
        <xdr:cNvSpPr txBox="1"/>
      </xdr:nvSpPr>
      <xdr:spPr>
        <a:xfrm>
          <a:off x="640080" y="192786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STOCK</a:t>
          </a:r>
        </a:p>
      </xdr:txBody>
    </xdr:sp>
    <xdr:clientData/>
  </xdr:twoCellAnchor>
  <xdr:twoCellAnchor>
    <xdr:from>
      <xdr:col>0</xdr:col>
      <xdr:colOff>586740</xdr:colOff>
      <xdr:row>4</xdr:row>
      <xdr:rowOff>160020</xdr:rowOff>
    </xdr:from>
    <xdr:to>
      <xdr:col>2</xdr:col>
      <xdr:colOff>556260</xdr:colOff>
      <xdr:row>7</xdr:row>
      <xdr:rowOff>91440</xdr:rowOff>
    </xdr:to>
    <xdr:sp macro="" textlink="">
      <xdr:nvSpPr>
        <xdr:cNvPr id="12" name="ZoneTexte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803BC53-7C2E-44BF-AB82-1A409640B715}"/>
            </a:ext>
          </a:extLst>
        </xdr:cNvPr>
        <xdr:cNvSpPr txBox="1"/>
      </xdr:nvSpPr>
      <xdr:spPr>
        <a:xfrm>
          <a:off x="586740" y="8915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ARTISAN</a:t>
          </a:r>
        </a:p>
      </xdr:txBody>
    </xdr:sp>
    <xdr:clientData/>
  </xdr:twoCellAnchor>
  <xdr:twoCellAnchor>
    <xdr:from>
      <xdr:col>0</xdr:col>
      <xdr:colOff>586740</xdr:colOff>
      <xdr:row>2</xdr:row>
      <xdr:rowOff>121920</xdr:rowOff>
    </xdr:from>
    <xdr:to>
      <xdr:col>2</xdr:col>
      <xdr:colOff>556260</xdr:colOff>
      <xdr:row>4</xdr:row>
      <xdr:rowOff>106680</xdr:rowOff>
    </xdr:to>
    <xdr:sp macro="" textlink="">
      <xdr:nvSpPr>
        <xdr:cNvPr id="13" name="ZoneTexte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5C5D40B-B466-4848-A52B-89B8CAE015BD}"/>
            </a:ext>
          </a:extLst>
        </xdr:cNvPr>
        <xdr:cNvSpPr txBox="1"/>
      </xdr:nvSpPr>
      <xdr:spPr>
        <a:xfrm>
          <a:off x="586740" y="487680"/>
          <a:ext cx="144780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 editAs="oneCell">
    <xdr:from>
      <xdr:col>0</xdr:col>
      <xdr:colOff>365760</xdr:colOff>
      <xdr:row>2</xdr:row>
      <xdr:rowOff>175260</xdr:rowOff>
    </xdr:from>
    <xdr:to>
      <xdr:col>0</xdr:col>
      <xdr:colOff>640080</xdr:colOff>
      <xdr:row>4</xdr:row>
      <xdr:rowOff>83820</xdr:rowOff>
    </xdr:to>
    <xdr:pic>
      <xdr:nvPicPr>
        <xdr:cNvPr id="14" name="Graphique 13" descr="Logement avec un remplissage uni">
          <a:extLst>
            <a:ext uri="{FF2B5EF4-FFF2-40B4-BE49-F238E27FC236}">
              <a16:creationId xmlns:a16="http://schemas.microsoft.com/office/drawing/2014/main" id="{230BC0F8-9A4C-4759-9EAE-77AEDDF5E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365760" y="54102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10</xdr:row>
      <xdr:rowOff>68580</xdr:rowOff>
    </xdr:from>
    <xdr:to>
      <xdr:col>0</xdr:col>
      <xdr:colOff>640080</xdr:colOff>
      <xdr:row>11</xdr:row>
      <xdr:rowOff>160020</xdr:rowOff>
    </xdr:to>
    <xdr:pic>
      <xdr:nvPicPr>
        <xdr:cNvPr id="15" name="Graphique 14" descr="Boîte avec un remplissage uni">
          <a:extLst>
            <a:ext uri="{FF2B5EF4-FFF2-40B4-BE49-F238E27FC236}">
              <a16:creationId xmlns:a16="http://schemas.microsoft.com/office/drawing/2014/main" id="{904F84F4-25FF-4E5F-8A53-F7CFEAD3D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 flipH="1">
          <a:off x="365760" y="1897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14</xdr:row>
      <xdr:rowOff>0</xdr:rowOff>
    </xdr:from>
    <xdr:to>
      <xdr:col>0</xdr:col>
      <xdr:colOff>502920</xdr:colOff>
      <xdr:row>15</xdr:row>
      <xdr:rowOff>91440</xdr:rowOff>
    </xdr:to>
    <xdr:pic>
      <xdr:nvPicPr>
        <xdr:cNvPr id="16" name="Graphique 15" descr="Presse-papiers vérifié avec un remplissage uni">
          <a:extLst>
            <a:ext uri="{FF2B5EF4-FFF2-40B4-BE49-F238E27FC236}">
              <a16:creationId xmlns:a16="http://schemas.microsoft.com/office/drawing/2014/main" id="{87913622-7436-4DB8-B6BB-D02C14395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 flipH="1">
          <a:off x="228600" y="2743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251460</xdr:colOff>
      <xdr:row>16</xdr:row>
      <xdr:rowOff>114300</xdr:rowOff>
    </xdr:from>
    <xdr:to>
      <xdr:col>0</xdr:col>
      <xdr:colOff>525780</xdr:colOff>
      <xdr:row>18</xdr:row>
      <xdr:rowOff>22860</xdr:rowOff>
    </xdr:to>
    <xdr:pic>
      <xdr:nvPicPr>
        <xdr:cNvPr id="17" name="Graphique 16" descr="Signal avec un remplissage uni">
          <a:extLst>
            <a:ext uri="{FF2B5EF4-FFF2-40B4-BE49-F238E27FC236}">
              <a16:creationId xmlns:a16="http://schemas.microsoft.com/office/drawing/2014/main" id="{B77F24A8-73BC-44A5-88A8-DB3A950E4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 flipH="1">
          <a:off x="251460" y="3040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5</xdr:row>
      <xdr:rowOff>0</xdr:rowOff>
    </xdr:from>
    <xdr:to>
      <xdr:col>0</xdr:col>
      <xdr:colOff>640080</xdr:colOff>
      <xdr:row>6</xdr:row>
      <xdr:rowOff>91440</xdr:rowOff>
    </xdr:to>
    <xdr:pic>
      <xdr:nvPicPr>
        <xdr:cNvPr id="18" name="Graphique 17" descr="Homme ouvrier du bâtiment avec un remplissage uni">
          <a:extLst>
            <a:ext uri="{FF2B5EF4-FFF2-40B4-BE49-F238E27FC236}">
              <a16:creationId xmlns:a16="http://schemas.microsoft.com/office/drawing/2014/main" id="{FA848ABE-F2FC-438D-956C-B8502BB46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 flipH="1">
          <a:off x="365760" y="914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7</xdr:row>
      <xdr:rowOff>167640</xdr:rowOff>
    </xdr:from>
    <xdr:to>
      <xdr:col>0</xdr:col>
      <xdr:colOff>640080</xdr:colOff>
      <xdr:row>9</xdr:row>
      <xdr:rowOff>76200</xdr:rowOff>
    </xdr:to>
    <xdr:pic>
      <xdr:nvPicPr>
        <xdr:cNvPr id="19" name="Graphique 18" descr="Camion-benne avec un remplissage uni">
          <a:extLst>
            <a:ext uri="{FF2B5EF4-FFF2-40B4-BE49-F238E27FC236}">
              <a16:creationId xmlns:a16="http://schemas.microsoft.com/office/drawing/2014/main" id="{6B7DD2FF-05FA-402D-8506-973F6C696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 flipH="1">
          <a:off x="365760" y="1447800"/>
          <a:ext cx="274320" cy="274320"/>
        </a:xfrm>
        <a:prstGeom prst="rect">
          <a:avLst/>
        </a:prstGeom>
      </xdr:spPr>
    </xdr:pic>
    <xdr:clientData/>
  </xdr:twoCellAnchor>
  <xdr:twoCellAnchor>
    <xdr:from>
      <xdr:col>2</xdr:col>
      <xdr:colOff>451140</xdr:colOff>
      <xdr:row>0</xdr:row>
      <xdr:rowOff>0</xdr:rowOff>
    </xdr:from>
    <xdr:to>
      <xdr:col>3</xdr:col>
      <xdr:colOff>0</xdr:colOff>
      <xdr:row>21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F059D558-1AC6-48DC-99CB-42D0A1492BA4}"/>
            </a:ext>
          </a:extLst>
        </xdr:cNvPr>
        <xdr:cNvSpPr/>
      </xdr:nvSpPr>
      <xdr:spPr>
        <a:xfrm>
          <a:off x="1929420" y="0"/>
          <a:ext cx="288000" cy="3840480"/>
        </a:xfrm>
        <a:prstGeom prst="rect">
          <a:avLst/>
        </a:prstGeom>
        <a:gradFill>
          <a:gsLst>
            <a:gs pos="12000">
              <a:srgbClr val="FFFF00"/>
            </a:gs>
            <a:gs pos="46000">
              <a:srgbClr val="FFC000"/>
            </a:gs>
            <a:gs pos="71000">
              <a:srgbClr val="FFFF0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160020</xdr:colOff>
      <xdr:row>1</xdr:row>
      <xdr:rowOff>68580</xdr:rowOff>
    </xdr:from>
    <xdr:to>
      <xdr:col>8</xdr:col>
      <xdr:colOff>647700</xdr:colOff>
      <xdr:row>3</xdr:row>
      <xdr:rowOff>45720</xdr:rowOff>
    </xdr:to>
    <xdr:sp macro="[0]!BilanStock" textlink="">
      <xdr:nvSpPr>
        <xdr:cNvPr id="2" name="Rectangle 1">
          <a:extLst>
            <a:ext uri="{FF2B5EF4-FFF2-40B4-BE49-F238E27FC236}">
              <a16:creationId xmlns:a16="http://schemas.microsoft.com/office/drawing/2014/main" id="{96561787-16C1-8B45-C7F1-D250B65664C5}"/>
            </a:ext>
          </a:extLst>
        </xdr:cNvPr>
        <xdr:cNvSpPr/>
      </xdr:nvSpPr>
      <xdr:spPr>
        <a:xfrm>
          <a:off x="6591300" y="251460"/>
          <a:ext cx="1280160" cy="342900"/>
        </a:xfrm>
        <a:prstGeom prst="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BILAN</a:t>
          </a:r>
          <a:r>
            <a:rPr lang="en-GB" sz="1100" baseline="0">
              <a:solidFill>
                <a:schemeClr val="tx1"/>
              </a:solidFill>
            </a:rPr>
            <a:t> STOCK</a:t>
          </a:r>
          <a:r>
            <a:rPr lang="en-GB" sz="1100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7</xdr:col>
      <xdr:colOff>381000</xdr:colOff>
      <xdr:row>4</xdr:row>
      <xdr:rowOff>83820</xdr:rowOff>
    </xdr:from>
    <xdr:to>
      <xdr:col>8</xdr:col>
      <xdr:colOff>388620</xdr:colOff>
      <xdr:row>6</xdr:row>
      <xdr:rowOff>91440</xdr:rowOff>
    </xdr:to>
    <xdr:sp macro="[0]!FermerBilanStock" textlink="">
      <xdr:nvSpPr>
        <xdr:cNvPr id="3" name="Rectangle 2">
          <a:extLst>
            <a:ext uri="{FF2B5EF4-FFF2-40B4-BE49-F238E27FC236}">
              <a16:creationId xmlns:a16="http://schemas.microsoft.com/office/drawing/2014/main" id="{032CE952-E450-CD16-4729-DFD3E35CCC5C}"/>
            </a:ext>
          </a:extLst>
        </xdr:cNvPr>
        <xdr:cNvSpPr/>
      </xdr:nvSpPr>
      <xdr:spPr>
        <a:xfrm>
          <a:off x="6812280" y="815340"/>
          <a:ext cx="800100" cy="37338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FERMER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21</xdr:row>
      <xdr:rowOff>7620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BE418D0-8B34-453C-BCEE-BB140C54A106}"/>
            </a:ext>
          </a:extLst>
        </xdr:cNvPr>
        <xdr:cNvSpPr/>
      </xdr:nvSpPr>
      <xdr:spPr>
        <a:xfrm>
          <a:off x="0" y="0"/>
          <a:ext cx="2217420" cy="3848100"/>
        </a:xfrm>
        <a:prstGeom prst="rect">
          <a:avLst/>
        </a:prstGeom>
        <a:gradFill>
          <a:gsLst>
            <a:gs pos="12000">
              <a:schemeClr val="tx2">
                <a:lumMod val="50000"/>
                <a:lumOff val="50000"/>
              </a:schemeClr>
            </a:gs>
            <a:gs pos="46000">
              <a:schemeClr val="accent2">
                <a:lumMod val="75000"/>
              </a:schemeClr>
            </a:gs>
            <a:gs pos="71000">
              <a:srgbClr val="00206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15240</xdr:rowOff>
    </xdr:from>
    <xdr:to>
      <xdr:col>3</xdr:col>
      <xdr:colOff>0</xdr:colOff>
      <xdr:row>12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110C403-3817-431A-8481-8BFFF8E6085E}"/>
            </a:ext>
          </a:extLst>
        </xdr:cNvPr>
        <xdr:cNvSpPr/>
      </xdr:nvSpPr>
      <xdr:spPr>
        <a:xfrm>
          <a:off x="0" y="1844040"/>
          <a:ext cx="2217420" cy="350520"/>
        </a:xfrm>
        <a:prstGeom prst="rect">
          <a:avLst/>
        </a:prstGeom>
        <a:solidFill>
          <a:srgbClr val="FFFF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464820</xdr:colOff>
      <xdr:row>17</xdr:row>
      <xdr:rowOff>15240</xdr:rowOff>
    </xdr:from>
    <xdr:to>
      <xdr:col>2</xdr:col>
      <xdr:colOff>556260</xdr:colOff>
      <xdr:row>19</xdr:row>
      <xdr:rowOff>38100</xdr:rowOff>
    </xdr:to>
    <xdr:sp macro="" textlink="">
      <xdr:nvSpPr>
        <xdr:cNvPr id="6" name="ZoneText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EF81EA-4865-4FA4-946C-94D9AC045998}"/>
            </a:ext>
          </a:extLst>
        </xdr:cNvPr>
        <xdr:cNvSpPr txBox="1"/>
      </xdr:nvSpPr>
      <xdr:spPr>
        <a:xfrm>
          <a:off x="464820" y="3124200"/>
          <a:ext cx="156972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TABLEAU</a:t>
          </a:r>
          <a:r>
            <a:rPr lang="en-GB" sz="1400" b="1" baseline="0">
              <a:solidFill>
                <a:schemeClr val="bg1"/>
              </a:solidFill>
            </a:rPr>
            <a:t> DE BORD</a:t>
          </a:r>
          <a:endParaRPr lang="en-GB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586740</xdr:colOff>
      <xdr:row>7</xdr:row>
      <xdr:rowOff>144780</xdr:rowOff>
    </xdr:from>
    <xdr:to>
      <xdr:col>2</xdr:col>
      <xdr:colOff>556260</xdr:colOff>
      <xdr:row>10</xdr:row>
      <xdr:rowOff>76200</xdr:rowOff>
    </xdr:to>
    <xdr:sp macro="" textlink="">
      <xdr:nvSpPr>
        <xdr:cNvPr id="7" name="ZoneText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D98ECA1-9ABB-4B85-94E4-FB9E8A08634F}"/>
            </a:ext>
          </a:extLst>
        </xdr:cNvPr>
        <xdr:cNvSpPr txBox="1"/>
      </xdr:nvSpPr>
      <xdr:spPr>
        <a:xfrm>
          <a:off x="586740" y="14249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FOURNISSEUR</a:t>
          </a:r>
        </a:p>
      </xdr:txBody>
    </xdr:sp>
    <xdr:clientData/>
  </xdr:twoCellAnchor>
  <xdr:twoCellAnchor>
    <xdr:from>
      <xdr:col>0</xdr:col>
      <xdr:colOff>640080</xdr:colOff>
      <xdr:row>13</xdr:row>
      <xdr:rowOff>175260</xdr:rowOff>
    </xdr:from>
    <xdr:to>
      <xdr:col>2</xdr:col>
      <xdr:colOff>556260</xdr:colOff>
      <xdr:row>15</xdr:row>
      <xdr:rowOff>91440</xdr:rowOff>
    </xdr:to>
    <xdr:sp macro="" textlink="">
      <xdr:nvSpPr>
        <xdr:cNvPr id="8" name="ZoneText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1B9558-A2BF-4880-8BAA-19C384CF5153}"/>
            </a:ext>
          </a:extLst>
        </xdr:cNvPr>
        <xdr:cNvSpPr txBox="1"/>
      </xdr:nvSpPr>
      <xdr:spPr>
        <a:xfrm>
          <a:off x="640080" y="255270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COMMANDES</a:t>
          </a:r>
        </a:p>
      </xdr:txBody>
    </xdr:sp>
    <xdr:clientData/>
  </xdr:twoCellAnchor>
  <xdr:twoCellAnchor>
    <xdr:from>
      <xdr:col>0</xdr:col>
      <xdr:colOff>640080</xdr:colOff>
      <xdr:row>10</xdr:row>
      <xdr:rowOff>99060</xdr:rowOff>
    </xdr:from>
    <xdr:to>
      <xdr:col>2</xdr:col>
      <xdr:colOff>556260</xdr:colOff>
      <xdr:row>12</xdr:row>
      <xdr:rowOff>15240</xdr:rowOff>
    </xdr:to>
    <xdr:sp macro="" textlink="">
      <xdr:nvSpPr>
        <xdr:cNvPr id="9" name="ZoneText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A86166-0573-4F92-824E-D3D29E3DC4E2}"/>
            </a:ext>
          </a:extLst>
        </xdr:cNvPr>
        <xdr:cNvSpPr txBox="1"/>
      </xdr:nvSpPr>
      <xdr:spPr>
        <a:xfrm>
          <a:off x="640080" y="192786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STOCK</a:t>
          </a:r>
        </a:p>
      </xdr:txBody>
    </xdr:sp>
    <xdr:clientData/>
  </xdr:twoCellAnchor>
  <xdr:twoCellAnchor>
    <xdr:from>
      <xdr:col>0</xdr:col>
      <xdr:colOff>586740</xdr:colOff>
      <xdr:row>4</xdr:row>
      <xdr:rowOff>160020</xdr:rowOff>
    </xdr:from>
    <xdr:to>
      <xdr:col>2</xdr:col>
      <xdr:colOff>556260</xdr:colOff>
      <xdr:row>7</xdr:row>
      <xdr:rowOff>91440</xdr:rowOff>
    </xdr:to>
    <xdr:sp macro="" textlink="">
      <xdr:nvSpPr>
        <xdr:cNvPr id="10" name="ZoneTexte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058BC6-5A8D-4FE4-B03D-ACF56AFE6EB4}"/>
            </a:ext>
          </a:extLst>
        </xdr:cNvPr>
        <xdr:cNvSpPr txBox="1"/>
      </xdr:nvSpPr>
      <xdr:spPr>
        <a:xfrm>
          <a:off x="586740" y="891540"/>
          <a:ext cx="144780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ARTISAN</a:t>
          </a:r>
        </a:p>
      </xdr:txBody>
    </xdr:sp>
    <xdr:clientData/>
  </xdr:twoCellAnchor>
  <xdr:twoCellAnchor>
    <xdr:from>
      <xdr:col>0</xdr:col>
      <xdr:colOff>586740</xdr:colOff>
      <xdr:row>2</xdr:row>
      <xdr:rowOff>121920</xdr:rowOff>
    </xdr:from>
    <xdr:to>
      <xdr:col>2</xdr:col>
      <xdr:colOff>556260</xdr:colOff>
      <xdr:row>4</xdr:row>
      <xdr:rowOff>106680</xdr:rowOff>
    </xdr:to>
    <xdr:sp macro="" textlink="">
      <xdr:nvSpPr>
        <xdr:cNvPr id="11" name="ZoneText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CFAAB04-9CC1-4796-B674-8312FEECAE6D}"/>
            </a:ext>
          </a:extLst>
        </xdr:cNvPr>
        <xdr:cNvSpPr txBox="1"/>
      </xdr:nvSpPr>
      <xdr:spPr>
        <a:xfrm>
          <a:off x="586740" y="487680"/>
          <a:ext cx="144780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 editAs="oneCell">
    <xdr:from>
      <xdr:col>0</xdr:col>
      <xdr:colOff>365760</xdr:colOff>
      <xdr:row>2</xdr:row>
      <xdr:rowOff>175260</xdr:rowOff>
    </xdr:from>
    <xdr:to>
      <xdr:col>0</xdr:col>
      <xdr:colOff>640080</xdr:colOff>
      <xdr:row>4</xdr:row>
      <xdr:rowOff>83820</xdr:rowOff>
    </xdr:to>
    <xdr:pic>
      <xdr:nvPicPr>
        <xdr:cNvPr id="12" name="Graphique 11" descr="Logement avec un remplissage uni">
          <a:extLst>
            <a:ext uri="{FF2B5EF4-FFF2-40B4-BE49-F238E27FC236}">
              <a16:creationId xmlns:a16="http://schemas.microsoft.com/office/drawing/2014/main" id="{6643DAC3-A2E3-4B08-AF1E-59992B22D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365760" y="54102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10</xdr:row>
      <xdr:rowOff>68580</xdr:rowOff>
    </xdr:from>
    <xdr:to>
      <xdr:col>0</xdr:col>
      <xdr:colOff>640080</xdr:colOff>
      <xdr:row>11</xdr:row>
      <xdr:rowOff>160020</xdr:rowOff>
    </xdr:to>
    <xdr:pic>
      <xdr:nvPicPr>
        <xdr:cNvPr id="13" name="Graphique 12" descr="Boîte avec un remplissage uni">
          <a:extLst>
            <a:ext uri="{FF2B5EF4-FFF2-40B4-BE49-F238E27FC236}">
              <a16:creationId xmlns:a16="http://schemas.microsoft.com/office/drawing/2014/main" id="{91CC8E9E-ABB6-447F-8136-B20502887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 flipH="1">
          <a:off x="365760" y="1897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13</xdr:row>
      <xdr:rowOff>76200</xdr:rowOff>
    </xdr:from>
    <xdr:to>
      <xdr:col>0</xdr:col>
      <xdr:colOff>640080</xdr:colOff>
      <xdr:row>14</xdr:row>
      <xdr:rowOff>167640</xdr:rowOff>
    </xdr:to>
    <xdr:pic>
      <xdr:nvPicPr>
        <xdr:cNvPr id="14" name="Graphique 13" descr="Presse-papiers vérifié avec un remplissage uni">
          <a:extLst>
            <a:ext uri="{FF2B5EF4-FFF2-40B4-BE49-F238E27FC236}">
              <a16:creationId xmlns:a16="http://schemas.microsoft.com/office/drawing/2014/main" id="{9BF3DB93-76B3-4E81-8D75-DB14CA5B7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 flipH="1">
          <a:off x="365760" y="245364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251460</xdr:colOff>
      <xdr:row>16</xdr:row>
      <xdr:rowOff>114300</xdr:rowOff>
    </xdr:from>
    <xdr:to>
      <xdr:col>0</xdr:col>
      <xdr:colOff>525780</xdr:colOff>
      <xdr:row>18</xdr:row>
      <xdr:rowOff>22860</xdr:rowOff>
    </xdr:to>
    <xdr:pic>
      <xdr:nvPicPr>
        <xdr:cNvPr id="15" name="Graphique 14" descr="Signal avec un remplissage uni">
          <a:extLst>
            <a:ext uri="{FF2B5EF4-FFF2-40B4-BE49-F238E27FC236}">
              <a16:creationId xmlns:a16="http://schemas.microsoft.com/office/drawing/2014/main" id="{A60F73B3-E53F-4034-A0E8-11E6170AA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 flipH="1">
          <a:off x="251460" y="304038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5</xdr:row>
      <xdr:rowOff>0</xdr:rowOff>
    </xdr:from>
    <xdr:to>
      <xdr:col>0</xdr:col>
      <xdr:colOff>640080</xdr:colOff>
      <xdr:row>6</xdr:row>
      <xdr:rowOff>91440</xdr:rowOff>
    </xdr:to>
    <xdr:pic>
      <xdr:nvPicPr>
        <xdr:cNvPr id="16" name="Graphique 15" descr="Homme ouvrier du bâtiment avec un remplissage uni">
          <a:extLst>
            <a:ext uri="{FF2B5EF4-FFF2-40B4-BE49-F238E27FC236}">
              <a16:creationId xmlns:a16="http://schemas.microsoft.com/office/drawing/2014/main" id="{DBEB3B7E-6D02-4EC3-9DF2-783865C4C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 flipH="1">
          <a:off x="365760" y="914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7</xdr:row>
      <xdr:rowOff>167640</xdr:rowOff>
    </xdr:from>
    <xdr:to>
      <xdr:col>0</xdr:col>
      <xdr:colOff>640080</xdr:colOff>
      <xdr:row>9</xdr:row>
      <xdr:rowOff>76200</xdr:rowOff>
    </xdr:to>
    <xdr:pic>
      <xdr:nvPicPr>
        <xdr:cNvPr id="17" name="Graphique 16" descr="Camion-benne avec un remplissage uni">
          <a:extLst>
            <a:ext uri="{FF2B5EF4-FFF2-40B4-BE49-F238E27FC236}">
              <a16:creationId xmlns:a16="http://schemas.microsoft.com/office/drawing/2014/main" id="{539B0C4C-9438-443E-883F-ECF091BB4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 flipH="1">
          <a:off x="365760" y="1447800"/>
          <a:ext cx="274320" cy="274320"/>
        </a:xfrm>
        <a:prstGeom prst="rect">
          <a:avLst/>
        </a:prstGeom>
      </xdr:spPr>
    </xdr:pic>
    <xdr:clientData/>
  </xdr:twoCellAnchor>
  <xdr:twoCellAnchor>
    <xdr:from>
      <xdr:col>2</xdr:col>
      <xdr:colOff>451140</xdr:colOff>
      <xdr:row>0</xdr:row>
      <xdr:rowOff>0</xdr:rowOff>
    </xdr:from>
    <xdr:to>
      <xdr:col>3</xdr:col>
      <xdr:colOff>0</xdr:colOff>
      <xdr:row>21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ACB8EF1-26DC-4BC0-928B-896D6951DDF6}"/>
            </a:ext>
          </a:extLst>
        </xdr:cNvPr>
        <xdr:cNvSpPr/>
      </xdr:nvSpPr>
      <xdr:spPr>
        <a:xfrm>
          <a:off x="1929420" y="0"/>
          <a:ext cx="288000" cy="3840480"/>
        </a:xfrm>
        <a:prstGeom prst="rect">
          <a:avLst/>
        </a:prstGeom>
        <a:gradFill>
          <a:gsLst>
            <a:gs pos="12000">
              <a:srgbClr val="FFFF00"/>
            </a:gs>
            <a:gs pos="46000">
              <a:srgbClr val="FFC000"/>
            </a:gs>
            <a:gs pos="71000">
              <a:srgbClr val="FFFF00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99060</xdr:rowOff>
    </xdr:from>
    <xdr:to>
      <xdr:col>17</xdr:col>
      <xdr:colOff>0</xdr:colOff>
      <xdr:row>11</xdr:row>
      <xdr:rowOff>22860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EA0DBDB-BC05-44FD-8703-0ABE70641696}"/>
            </a:ext>
          </a:extLst>
        </xdr:cNvPr>
        <xdr:cNvSpPr/>
      </xdr:nvSpPr>
      <xdr:spPr>
        <a:xfrm>
          <a:off x="11094720" y="480060"/>
          <a:ext cx="2377440" cy="1836420"/>
        </a:xfrm>
        <a:prstGeom prst="rect">
          <a:avLst/>
        </a:prstGeom>
        <a:gradFill>
          <a:gsLst>
            <a:gs pos="12000">
              <a:schemeClr val="tx2">
                <a:lumMod val="50000"/>
                <a:lumOff val="50000"/>
              </a:schemeClr>
            </a:gs>
            <a:gs pos="46000">
              <a:schemeClr val="accent2">
                <a:lumMod val="75000"/>
              </a:schemeClr>
            </a:gs>
            <a:gs pos="71000">
              <a:srgbClr val="002060"/>
            </a:gs>
          </a:gsLst>
          <a:lin ang="5400000" scaled="1"/>
        </a:gradFill>
        <a:ln>
          <a:noFill/>
        </a:ln>
        <a:scene3d>
          <a:camera prst="obliqueTopLef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0</xdr:colOff>
      <xdr:row>9</xdr:row>
      <xdr:rowOff>0</xdr:rowOff>
    </xdr:from>
    <xdr:to>
      <xdr:col>17</xdr:col>
      <xdr:colOff>0</xdr:colOff>
      <xdr:row>10</xdr:row>
      <xdr:rowOff>144780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ADB4E78A-0180-BFD7-9241-CEA2B341DAD5}"/>
            </a:ext>
          </a:extLst>
        </xdr:cNvPr>
        <xdr:cNvSpPr/>
      </xdr:nvSpPr>
      <xdr:spPr>
        <a:xfrm>
          <a:off x="11094720" y="1927860"/>
          <a:ext cx="2377440" cy="327660"/>
        </a:xfrm>
        <a:prstGeom prst="rect">
          <a:avLst/>
        </a:prstGeom>
        <a:solidFill>
          <a:srgbClr val="FFFF00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7620</xdr:colOff>
      <xdr:row>1</xdr:row>
      <xdr:rowOff>0</xdr:rowOff>
    </xdr:from>
    <xdr:to>
      <xdr:col>6</xdr:col>
      <xdr:colOff>723900</xdr:colOff>
      <xdr:row>13</xdr:row>
      <xdr:rowOff>137160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7BDE17B-1DEA-1F57-8ABA-578D43A96B12}"/>
            </a:ext>
          </a:extLst>
        </xdr:cNvPr>
        <xdr:cNvSpPr/>
      </xdr:nvSpPr>
      <xdr:spPr>
        <a:xfrm>
          <a:off x="7620" y="381000"/>
          <a:ext cx="5471160" cy="241554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30480</xdr:colOff>
      <xdr:row>3</xdr:row>
      <xdr:rowOff>22860</xdr:rowOff>
    </xdr:from>
    <xdr:to>
      <xdr:col>6</xdr:col>
      <xdr:colOff>716280</xdr:colOff>
      <xdr:row>8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106A3D1-386B-5971-241F-E21301BAEDB8}"/>
            </a:ext>
          </a:extLst>
        </xdr:cNvPr>
        <xdr:cNvSpPr/>
      </xdr:nvSpPr>
      <xdr:spPr>
        <a:xfrm>
          <a:off x="30480" y="853440"/>
          <a:ext cx="5440680" cy="9677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Commandes</a:t>
          </a:r>
          <a:r>
            <a:rPr lang="en-GB" sz="1400" b="1" baseline="0">
              <a:solidFill>
                <a:sysClr val="windowText" lastClr="000000"/>
              </a:solidFill>
            </a:rPr>
            <a:t> en cours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22860</xdr:colOff>
      <xdr:row>9</xdr:row>
      <xdr:rowOff>15240</xdr:rowOff>
    </xdr:from>
    <xdr:to>
      <xdr:col>1</xdr:col>
      <xdr:colOff>769620</xdr:colOff>
      <xdr:row>13</xdr:row>
      <xdr:rowOff>15240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AEC9BD47-2F06-5996-2272-7E533C98F5F6}"/>
            </a:ext>
          </a:extLst>
        </xdr:cNvPr>
        <xdr:cNvSpPr/>
      </xdr:nvSpPr>
      <xdr:spPr>
        <a:xfrm>
          <a:off x="22860" y="1943100"/>
          <a:ext cx="1539240" cy="73152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Qualité</a:t>
          </a:r>
          <a:r>
            <a:rPr lang="en-GB" sz="1200" b="1" baseline="0">
              <a:solidFill>
                <a:sysClr val="windowText" lastClr="000000"/>
              </a:solidFill>
            </a:rPr>
            <a:t> de Délais</a:t>
          </a:r>
          <a:endParaRPr lang="en-GB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7620</xdr:colOff>
      <xdr:row>4</xdr:row>
      <xdr:rowOff>99060</xdr:rowOff>
    </xdr:from>
    <xdr:to>
      <xdr:col>1</xdr:col>
      <xdr:colOff>754380</xdr:colOff>
      <xdr:row>8</xdr:row>
      <xdr:rowOff>68580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CCE384F-3A1F-E595-68E7-4A9C259DF38B}"/>
            </a:ext>
          </a:extLst>
        </xdr:cNvPr>
        <xdr:cNvSpPr/>
      </xdr:nvSpPr>
      <xdr:spPr>
        <a:xfrm>
          <a:off x="7620" y="1112520"/>
          <a:ext cx="1539240" cy="70104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/>
            <a:t>ddN</a:t>
          </a:r>
          <a:r>
            <a:rPr lang="en-GB" sz="1200" b="1" baseline="0"/>
            <a:t>   </a:t>
          </a:r>
          <a:r>
            <a:rPr lang="en-GB" sz="1200" b="1">
              <a:solidFill>
                <a:sysClr val="windowText" lastClr="000000"/>
              </a:solidFill>
            </a:rPr>
            <a:t>Nombre</a:t>
          </a:r>
          <a:r>
            <a:rPr lang="en-GB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GB" sz="1200">
              <a:effectLst/>
            </a:rPr>
            <a:t> </a:t>
          </a:r>
          <a:endParaRPr lang="en-GB" sz="1200" b="1"/>
        </a:p>
      </xdr:txBody>
    </xdr:sp>
    <xdr:clientData/>
  </xdr:twoCellAnchor>
  <xdr:twoCellAnchor>
    <xdr:from>
      <xdr:col>2</xdr:col>
      <xdr:colOff>60960</xdr:colOff>
      <xdr:row>4</xdr:row>
      <xdr:rowOff>91440</xdr:rowOff>
    </xdr:from>
    <xdr:to>
      <xdr:col>4</xdr:col>
      <xdr:colOff>15240</xdr:colOff>
      <xdr:row>8</xdr:row>
      <xdr:rowOff>60960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28B3669C-B8C1-C73B-982F-7A68F4BD87B4}"/>
            </a:ext>
          </a:extLst>
        </xdr:cNvPr>
        <xdr:cNvSpPr/>
      </xdr:nvSpPr>
      <xdr:spPr>
        <a:xfrm>
          <a:off x="1645920" y="1104900"/>
          <a:ext cx="1539240" cy="70104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/>
            <a:t>d</a:t>
          </a:r>
          <a:r>
            <a:rPr lang="en-GB" sz="1200" b="1" baseline="0">
              <a:solidFill>
                <a:sysClr val="windowText" lastClr="000000"/>
              </a:solidFill>
            </a:rPr>
            <a:t>Commande du mois</a:t>
          </a:r>
          <a:endParaRPr lang="en-GB" sz="1200" b="1"/>
        </a:p>
      </xdr:txBody>
    </xdr:sp>
    <xdr:clientData/>
  </xdr:twoCellAnchor>
  <xdr:twoCellAnchor>
    <xdr:from>
      <xdr:col>4</xdr:col>
      <xdr:colOff>76200</xdr:colOff>
      <xdr:row>4</xdr:row>
      <xdr:rowOff>68580</xdr:rowOff>
    </xdr:from>
    <xdr:to>
      <xdr:col>6</xdr:col>
      <xdr:colOff>701040</xdr:colOff>
      <xdr:row>8</xdr:row>
      <xdr:rowOff>68580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34CE2A9-49E5-BBDE-6F87-269310BA92EB}"/>
            </a:ext>
          </a:extLst>
        </xdr:cNvPr>
        <xdr:cNvSpPr/>
      </xdr:nvSpPr>
      <xdr:spPr>
        <a:xfrm>
          <a:off x="3246120" y="1082040"/>
          <a:ext cx="2209800" cy="73152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In</a:t>
          </a:r>
          <a:r>
            <a:rPr lang="en-GB" sz="1400" b="1"/>
            <a:t>n</a:t>
          </a:r>
          <a:r>
            <a:rPr lang="en-GB" sz="1400" b="1">
              <a:solidFill>
                <a:sysClr val="windowText" lastClr="000000"/>
              </a:solidFill>
            </a:rPr>
            <a:t>Indice</a:t>
          </a:r>
          <a:r>
            <a:rPr lang="en-GB" sz="1400" b="1" baseline="0">
              <a:solidFill>
                <a:sysClr val="windowText" lastClr="000000"/>
              </a:solidFill>
            </a:rPr>
            <a:t> de Confiance</a:t>
          </a:r>
          <a:endParaRPr lang="en-GB" sz="1400" b="1"/>
        </a:p>
      </xdr:txBody>
    </xdr:sp>
    <xdr:clientData/>
  </xdr:twoCellAnchor>
  <xdr:twoCellAnchor>
    <xdr:from>
      <xdr:col>4</xdr:col>
      <xdr:colOff>121920</xdr:colOff>
      <xdr:row>5</xdr:row>
      <xdr:rowOff>152400</xdr:rowOff>
    </xdr:from>
    <xdr:to>
      <xdr:col>5</xdr:col>
      <xdr:colOff>289560</xdr:colOff>
      <xdr:row>8</xdr:row>
      <xdr:rowOff>22860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BE9111-F715-ABC0-1808-5BFC588B105E}"/>
            </a:ext>
          </a:extLst>
        </xdr:cNvPr>
        <xdr:cNvSpPr/>
      </xdr:nvSpPr>
      <xdr:spPr>
        <a:xfrm>
          <a:off x="3291840" y="1348740"/>
          <a:ext cx="960120" cy="4191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 baseline="0">
              <a:solidFill>
                <a:schemeClr val="lt1"/>
              </a:solidFill>
            </a:rPr>
            <a:t>     </a:t>
          </a:r>
          <a:r>
            <a:rPr lang="en-GB" sz="1100" b="1">
              <a:solidFill>
                <a:sysClr val="windowText" lastClr="000000"/>
              </a:solidFill>
            </a:rPr>
            <a:t>Qualité</a:t>
          </a:r>
        </a:p>
        <a:p>
          <a:pPr algn="l"/>
          <a:endParaRPr lang="en-GB" sz="1100" b="1"/>
        </a:p>
      </xdr:txBody>
    </xdr:sp>
    <xdr:clientData/>
  </xdr:twoCellAnchor>
  <xdr:twoCellAnchor>
    <xdr:from>
      <xdr:col>5</xdr:col>
      <xdr:colOff>350520</xdr:colOff>
      <xdr:row>5</xdr:row>
      <xdr:rowOff>160020</xdr:rowOff>
    </xdr:from>
    <xdr:to>
      <xdr:col>6</xdr:col>
      <xdr:colOff>632460</xdr:colOff>
      <xdr:row>8</xdr:row>
      <xdr:rowOff>15240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A44253BA-741F-B072-4237-CC0C7255E4E5}"/>
            </a:ext>
          </a:extLst>
        </xdr:cNvPr>
        <xdr:cNvSpPr/>
      </xdr:nvSpPr>
      <xdr:spPr>
        <a:xfrm>
          <a:off x="4312920" y="1356360"/>
          <a:ext cx="1074420" cy="4038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Délais</a:t>
          </a:r>
        </a:p>
      </xdr:txBody>
    </xdr:sp>
    <xdr:clientData/>
  </xdr:twoCellAnchor>
  <xdr:twoCellAnchor>
    <xdr:from>
      <xdr:col>2</xdr:col>
      <xdr:colOff>297180</xdr:colOff>
      <xdr:row>9</xdr:row>
      <xdr:rowOff>7620</xdr:rowOff>
    </xdr:from>
    <xdr:to>
      <xdr:col>4</xdr:col>
      <xdr:colOff>251460</xdr:colOff>
      <xdr:row>13</xdr:row>
      <xdr:rowOff>7620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EDB1EE68-823A-A005-B118-C112F2788592}"/>
            </a:ext>
          </a:extLst>
        </xdr:cNvPr>
        <xdr:cNvSpPr/>
      </xdr:nvSpPr>
      <xdr:spPr>
        <a:xfrm>
          <a:off x="1882140" y="1935480"/>
          <a:ext cx="1539240" cy="73152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Qualité</a:t>
          </a:r>
          <a:r>
            <a:rPr lang="en-GB" sz="1100" b="1" baseline="0">
              <a:solidFill>
                <a:sysClr val="windowText" lastClr="000000"/>
              </a:solidFill>
            </a:rPr>
            <a:t> de Commande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655320</xdr:colOff>
      <xdr:row>9</xdr:row>
      <xdr:rowOff>30480</xdr:rowOff>
    </xdr:from>
    <xdr:to>
      <xdr:col>6</xdr:col>
      <xdr:colOff>609600</xdr:colOff>
      <xdr:row>13</xdr:row>
      <xdr:rowOff>30480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58059FE-AB2E-D7B3-9FE9-F74EADEE7734}"/>
            </a:ext>
          </a:extLst>
        </xdr:cNvPr>
        <xdr:cNvSpPr/>
      </xdr:nvSpPr>
      <xdr:spPr>
        <a:xfrm>
          <a:off x="3825240" y="1958340"/>
          <a:ext cx="1539240" cy="73152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ysClr val="windowText" lastClr="000000"/>
              </a:solidFill>
            </a:rPr>
            <a:t>Commandes</a:t>
          </a:r>
          <a:r>
            <a:rPr lang="en-GB" sz="1100" b="1" baseline="0">
              <a:solidFill>
                <a:sysClr val="windowText" lastClr="000000"/>
              </a:solidFill>
            </a:rPr>
            <a:t> en retards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121920</xdr:colOff>
      <xdr:row>5</xdr:row>
      <xdr:rowOff>160020</xdr:rowOff>
    </xdr:from>
    <xdr:to>
      <xdr:col>1</xdr:col>
      <xdr:colOff>678180</xdr:colOff>
      <xdr:row>8</xdr:row>
      <xdr:rowOff>15240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8BFA33BC-3A53-1216-44F1-579EA89C6914}"/>
            </a:ext>
          </a:extLst>
        </xdr:cNvPr>
        <xdr:cNvSpPr txBox="1"/>
      </xdr:nvSpPr>
      <xdr:spPr>
        <a:xfrm>
          <a:off x="121920" y="1356360"/>
          <a:ext cx="134874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/>
            <a:t>4</a:t>
          </a:r>
        </a:p>
      </xdr:txBody>
    </xdr:sp>
    <xdr:clientData/>
  </xdr:twoCellAnchor>
  <xdr:twoCellAnchor>
    <xdr:from>
      <xdr:col>2</xdr:col>
      <xdr:colOff>114300</xdr:colOff>
      <xdr:row>5</xdr:row>
      <xdr:rowOff>175260</xdr:rowOff>
    </xdr:from>
    <xdr:to>
      <xdr:col>3</xdr:col>
      <xdr:colOff>769620</xdr:colOff>
      <xdr:row>8</xdr:row>
      <xdr:rowOff>15240</xdr:rowOff>
    </xdr:to>
    <xdr:sp macro="" textlink="'Calcul &amp; TCD'!B6">
      <xdr:nvSpPr>
        <xdr:cNvPr id="20" name="ZoneTexte 19">
          <a:extLst>
            <a:ext uri="{FF2B5EF4-FFF2-40B4-BE49-F238E27FC236}">
              <a16:creationId xmlns:a16="http://schemas.microsoft.com/office/drawing/2014/main" id="{67CFEE13-AE96-635D-B842-E1052F5687A0}"/>
            </a:ext>
          </a:extLst>
        </xdr:cNvPr>
        <xdr:cNvSpPr txBox="1"/>
      </xdr:nvSpPr>
      <xdr:spPr>
        <a:xfrm>
          <a:off x="1699260" y="1371600"/>
          <a:ext cx="144780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701F054-BE83-43F2-85E7-A9370EC7FC9B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n-GB" sz="1800" b="1"/>
        </a:p>
      </xdr:txBody>
    </xdr:sp>
    <xdr:clientData/>
  </xdr:twoCellAnchor>
  <xdr:twoCellAnchor>
    <xdr:from>
      <xdr:col>4</xdr:col>
      <xdr:colOff>160020</xdr:colOff>
      <xdr:row>6</xdr:row>
      <xdr:rowOff>152400</xdr:rowOff>
    </xdr:from>
    <xdr:to>
      <xdr:col>5</xdr:col>
      <xdr:colOff>83820</xdr:colOff>
      <xdr:row>7</xdr:row>
      <xdr:rowOff>175260</xdr:rowOff>
    </xdr:to>
    <xdr:sp macro="" textlink="'Calcul &amp; TCD'!B7">
      <xdr:nvSpPr>
        <xdr:cNvPr id="21" name="ZoneTexte 20">
          <a:extLst>
            <a:ext uri="{FF2B5EF4-FFF2-40B4-BE49-F238E27FC236}">
              <a16:creationId xmlns:a16="http://schemas.microsoft.com/office/drawing/2014/main" id="{787F9B36-70EE-B9DF-C503-77F80DD91669}"/>
            </a:ext>
          </a:extLst>
        </xdr:cNvPr>
        <xdr:cNvSpPr txBox="1"/>
      </xdr:nvSpPr>
      <xdr:spPr>
        <a:xfrm>
          <a:off x="3329940" y="1531620"/>
          <a:ext cx="716280" cy="205740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DDF1A36-CFE1-4A98-8DFB-8677A4E05A5B}" type="TxLink">
            <a:rPr lang="en-US" sz="1100" b="1" i="0" u="none" strike="noStrike">
              <a:solidFill>
                <a:srgbClr val="000000"/>
              </a:solidFill>
              <a:latin typeface="Aptos Narrow"/>
            </a:rPr>
            <a:t>83,33</a:t>
          </a:fld>
          <a:r>
            <a:rPr lang="en-US" sz="1100" b="1" i="0" u="none" strike="noStrike">
              <a:solidFill>
                <a:srgbClr val="000000"/>
              </a:solidFill>
              <a:latin typeface="Aptos Narrow"/>
            </a:rPr>
            <a:t> %</a:t>
          </a:r>
          <a:endParaRPr lang="en-GB" sz="1100" b="1"/>
        </a:p>
      </xdr:txBody>
    </xdr:sp>
    <xdr:clientData/>
  </xdr:twoCellAnchor>
  <xdr:twoCellAnchor>
    <xdr:from>
      <xdr:col>5</xdr:col>
      <xdr:colOff>411480</xdr:colOff>
      <xdr:row>6</xdr:row>
      <xdr:rowOff>160020</xdr:rowOff>
    </xdr:from>
    <xdr:to>
      <xdr:col>6</xdr:col>
      <xdr:colOff>281940</xdr:colOff>
      <xdr:row>7</xdr:row>
      <xdr:rowOff>167640</xdr:rowOff>
    </xdr:to>
    <xdr:sp macro="" textlink="'Calcul &amp; TCD'!B8">
      <xdr:nvSpPr>
        <xdr:cNvPr id="22" name="ZoneTexte 21">
          <a:extLst>
            <a:ext uri="{FF2B5EF4-FFF2-40B4-BE49-F238E27FC236}">
              <a16:creationId xmlns:a16="http://schemas.microsoft.com/office/drawing/2014/main" id="{49109999-04FD-4EA4-80CD-EF29C88BC653}"/>
            </a:ext>
          </a:extLst>
        </xdr:cNvPr>
        <xdr:cNvSpPr txBox="1"/>
      </xdr:nvSpPr>
      <xdr:spPr>
        <a:xfrm>
          <a:off x="4373880" y="1539240"/>
          <a:ext cx="662940" cy="190500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6C0798E-66C3-4283-B206-6FFB9197A6D0}" type="TxLink">
            <a:rPr lang="en-US" sz="1100" b="1" i="0" u="none" strike="noStrike">
              <a:solidFill>
                <a:srgbClr val="000000"/>
              </a:solidFill>
              <a:latin typeface="Aptos Narrow"/>
            </a:rPr>
            <a:t>85,42</a:t>
          </a:fld>
          <a:r>
            <a:rPr lang="en-US" sz="1100" b="1" i="0" u="none" strike="noStrike">
              <a:solidFill>
                <a:srgbClr val="000000"/>
              </a:solidFill>
              <a:latin typeface="Aptos Narrow"/>
            </a:rPr>
            <a:t> %</a:t>
          </a:r>
          <a:endParaRPr lang="en-GB" sz="1100" b="1"/>
        </a:p>
      </xdr:txBody>
    </xdr:sp>
    <xdr:clientData/>
  </xdr:twoCellAnchor>
  <xdr:twoCellAnchor>
    <xdr:from>
      <xdr:col>0</xdr:col>
      <xdr:colOff>160020</xdr:colOff>
      <xdr:row>10</xdr:row>
      <xdr:rowOff>99060</xdr:rowOff>
    </xdr:from>
    <xdr:to>
      <xdr:col>1</xdr:col>
      <xdr:colOff>441960</xdr:colOff>
      <xdr:row>12</xdr:row>
      <xdr:rowOff>160020</xdr:rowOff>
    </xdr:to>
    <xdr:sp macro="" textlink="'Calcul &amp; TCD'!B9">
      <xdr:nvSpPr>
        <xdr:cNvPr id="23" name="ZoneTexte 22">
          <a:extLst>
            <a:ext uri="{FF2B5EF4-FFF2-40B4-BE49-F238E27FC236}">
              <a16:creationId xmlns:a16="http://schemas.microsoft.com/office/drawing/2014/main" id="{FFFF4682-6045-85BC-02B2-B7C7949E42FE}"/>
            </a:ext>
          </a:extLst>
        </xdr:cNvPr>
        <xdr:cNvSpPr txBox="1"/>
      </xdr:nvSpPr>
      <xdr:spPr>
        <a:xfrm>
          <a:off x="160020" y="2209800"/>
          <a:ext cx="1074420" cy="4267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8DD64F4-5423-4EA4-9C53-0C4FB64C7E4B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63,64</a:t>
          </a:fld>
          <a:r>
            <a:rPr lang="en-US" sz="1800" b="1" i="0" u="none" strike="noStrike">
              <a:solidFill>
                <a:srgbClr val="000000"/>
              </a:solidFill>
              <a:latin typeface="Aptos Narrow"/>
            </a:rPr>
            <a:t> %</a:t>
          </a:r>
          <a:endParaRPr lang="en-GB" sz="1800" b="1"/>
        </a:p>
      </xdr:txBody>
    </xdr:sp>
    <xdr:clientData/>
  </xdr:twoCellAnchor>
  <xdr:twoCellAnchor>
    <xdr:from>
      <xdr:col>2</xdr:col>
      <xdr:colOff>388620</xdr:colOff>
      <xdr:row>10</xdr:row>
      <xdr:rowOff>53340</xdr:rowOff>
    </xdr:from>
    <xdr:to>
      <xdr:col>4</xdr:col>
      <xdr:colOff>83820</xdr:colOff>
      <xdr:row>12</xdr:row>
      <xdr:rowOff>121920</xdr:rowOff>
    </xdr:to>
    <xdr:sp macro="" textlink="'Calcul &amp; TCD'!B10">
      <xdr:nvSpPr>
        <xdr:cNvPr id="24" name="ZoneTexte 23">
          <a:extLst>
            <a:ext uri="{FF2B5EF4-FFF2-40B4-BE49-F238E27FC236}">
              <a16:creationId xmlns:a16="http://schemas.microsoft.com/office/drawing/2014/main" id="{0AAC960F-6A61-52F9-033F-FA20EA64D6D6}"/>
            </a:ext>
          </a:extLst>
        </xdr:cNvPr>
        <xdr:cNvSpPr txBox="1"/>
      </xdr:nvSpPr>
      <xdr:spPr>
        <a:xfrm>
          <a:off x="1973580" y="2164080"/>
          <a:ext cx="1280160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BE8E4AE-5A00-4D66-AB7B-A31EA6690F28}" type="TxLink">
            <a:rPr lang="en-US" sz="2000" b="1" i="0" u="none" strike="noStrike">
              <a:solidFill>
                <a:srgbClr val="000000"/>
              </a:solidFill>
              <a:latin typeface="Aptos Narrow"/>
            </a:rPr>
            <a:t>3,82</a:t>
          </a:fld>
          <a:r>
            <a:rPr lang="en-US" sz="2000" b="1" i="0" u="none" strike="noStrike">
              <a:solidFill>
                <a:srgbClr val="000000"/>
              </a:solidFill>
              <a:latin typeface="Aptos Narrow"/>
            </a:rPr>
            <a:t> /5</a:t>
          </a:r>
          <a:endParaRPr lang="en-GB" sz="2000" b="1"/>
        </a:p>
      </xdr:txBody>
    </xdr:sp>
    <xdr:clientData/>
  </xdr:twoCellAnchor>
  <xdr:twoCellAnchor>
    <xdr:from>
      <xdr:col>4</xdr:col>
      <xdr:colOff>701040</xdr:colOff>
      <xdr:row>10</xdr:row>
      <xdr:rowOff>53340</xdr:rowOff>
    </xdr:from>
    <xdr:to>
      <xdr:col>6</xdr:col>
      <xdr:colOff>487680</xdr:colOff>
      <xdr:row>12</xdr:row>
      <xdr:rowOff>175260</xdr:rowOff>
    </xdr:to>
    <xdr:sp macro="" textlink="'Calcul &amp; TCD'!B11">
      <xdr:nvSpPr>
        <xdr:cNvPr id="26" name="ZoneTexte 25">
          <a:extLst>
            <a:ext uri="{FF2B5EF4-FFF2-40B4-BE49-F238E27FC236}">
              <a16:creationId xmlns:a16="http://schemas.microsoft.com/office/drawing/2014/main" id="{D1A4DB75-3BE3-FB1D-E89D-F49EFEA34F31}"/>
            </a:ext>
          </a:extLst>
        </xdr:cNvPr>
        <xdr:cNvSpPr txBox="1"/>
      </xdr:nvSpPr>
      <xdr:spPr>
        <a:xfrm>
          <a:off x="3870960" y="2164080"/>
          <a:ext cx="1371600" cy="4876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1094D1-E4AA-4C4F-8A98-B74421580FC8}" type="TxLink">
            <a:rPr lang="en-US" sz="2800" b="1" i="0" u="none" strike="noStrike">
              <a:solidFill>
                <a:srgbClr val="000000"/>
              </a:solidFill>
              <a:latin typeface="Aptos Narrow"/>
            </a:rPr>
            <a:t>3</a:t>
          </a:fld>
          <a:endParaRPr lang="en-GB" sz="2800" b="1"/>
        </a:p>
      </xdr:txBody>
    </xdr:sp>
    <xdr:clientData/>
  </xdr:twoCellAnchor>
  <xdr:twoCellAnchor>
    <xdr:from>
      <xdr:col>0</xdr:col>
      <xdr:colOff>22860</xdr:colOff>
      <xdr:row>14</xdr:row>
      <xdr:rowOff>53340</xdr:rowOff>
    </xdr:from>
    <xdr:to>
      <xdr:col>6</xdr:col>
      <xdr:colOff>723900</xdr:colOff>
      <xdr:row>25</xdr:row>
      <xdr:rowOff>45720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C458FC49-764D-BDB2-650C-234E835A0944}"/>
            </a:ext>
          </a:extLst>
        </xdr:cNvPr>
        <xdr:cNvSpPr/>
      </xdr:nvSpPr>
      <xdr:spPr>
        <a:xfrm>
          <a:off x="22860" y="2895600"/>
          <a:ext cx="5455920" cy="200406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>
              <a:solidFill>
                <a:sysClr val="windowText" lastClr="000000"/>
              </a:solidFill>
            </a:rPr>
            <a:t>Satisfaction Client</a:t>
          </a:r>
        </a:p>
      </xdr:txBody>
    </xdr:sp>
    <xdr:clientData/>
  </xdr:twoCellAnchor>
  <xdr:twoCellAnchor>
    <xdr:from>
      <xdr:col>0</xdr:col>
      <xdr:colOff>175260</xdr:colOff>
      <xdr:row>16</xdr:row>
      <xdr:rowOff>22860</xdr:rowOff>
    </xdr:from>
    <xdr:to>
      <xdr:col>3</xdr:col>
      <xdr:colOff>45720</xdr:colOff>
      <xdr:row>24</xdr:row>
      <xdr:rowOff>129540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FE1D504-2D51-1148-BDA2-26282AEC13C3}"/>
            </a:ext>
          </a:extLst>
        </xdr:cNvPr>
        <xdr:cNvSpPr/>
      </xdr:nvSpPr>
      <xdr:spPr>
        <a:xfrm>
          <a:off x="175260" y="3230880"/>
          <a:ext cx="2247900" cy="156972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</a:rPr>
            <a:t>Satisfaction</a:t>
          </a:r>
          <a:r>
            <a:rPr lang="en-GB" sz="1400" b="1" baseline="0">
              <a:solidFill>
                <a:sysClr val="windowText" lastClr="000000"/>
              </a:solidFill>
            </a:rPr>
            <a:t> Client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144780</xdr:colOff>
      <xdr:row>16</xdr:row>
      <xdr:rowOff>30480</xdr:rowOff>
    </xdr:from>
    <xdr:to>
      <xdr:col>6</xdr:col>
      <xdr:colOff>617220</xdr:colOff>
      <xdr:row>24</xdr:row>
      <xdr:rowOff>106680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40FBA0AF-A39E-B4D9-D95F-6E8F6CE979F4}"/>
            </a:ext>
          </a:extLst>
        </xdr:cNvPr>
        <xdr:cNvSpPr/>
      </xdr:nvSpPr>
      <xdr:spPr>
        <a:xfrm>
          <a:off x="2522220" y="3238500"/>
          <a:ext cx="2849880" cy="1539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</a:rPr>
            <a:t>Cause</a:t>
          </a:r>
          <a:r>
            <a:rPr lang="en-GB" sz="1400" b="1" baseline="0">
              <a:solidFill>
                <a:sysClr val="windowText" lastClr="000000"/>
              </a:solidFill>
            </a:rPr>
            <a:t> de retard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243840</xdr:colOff>
      <xdr:row>17</xdr:row>
      <xdr:rowOff>15240</xdr:rowOff>
    </xdr:from>
    <xdr:to>
      <xdr:col>2</xdr:col>
      <xdr:colOff>754380</xdr:colOff>
      <xdr:row>24</xdr:row>
      <xdr:rowOff>148590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BDD35F36-6E55-449A-9B66-17D4058BB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220980</xdr:colOff>
      <xdr:row>17</xdr:row>
      <xdr:rowOff>129540</xdr:rowOff>
    </xdr:from>
    <xdr:to>
      <xdr:col>6</xdr:col>
      <xdr:colOff>548640</xdr:colOff>
      <xdr:row>23</xdr:row>
      <xdr:rowOff>175260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62AF0C85-F0BC-4B0F-B103-F02B49FFC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114300</xdr:colOff>
      <xdr:row>1</xdr:row>
      <xdr:rowOff>22860</xdr:rowOff>
    </xdr:from>
    <xdr:to>
      <xdr:col>17</xdr:col>
      <xdr:colOff>129540</xdr:colOff>
      <xdr:row>25</xdr:row>
      <xdr:rowOff>45720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CF4BC7D-DB6E-0B0F-136D-411063831FC4}"/>
            </a:ext>
          </a:extLst>
        </xdr:cNvPr>
        <xdr:cNvSpPr/>
      </xdr:nvSpPr>
      <xdr:spPr>
        <a:xfrm>
          <a:off x="5661660" y="403860"/>
          <a:ext cx="7940040" cy="44958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312420</xdr:colOff>
      <xdr:row>6</xdr:row>
      <xdr:rowOff>53340</xdr:rowOff>
    </xdr:from>
    <xdr:to>
      <xdr:col>9</xdr:col>
      <xdr:colOff>525780</xdr:colOff>
      <xdr:row>11</xdr:row>
      <xdr:rowOff>7620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749F9004-D2D8-7A8B-00AE-03E0D36C0223}"/>
            </a:ext>
          </a:extLst>
        </xdr:cNvPr>
        <xdr:cNvSpPr/>
      </xdr:nvSpPr>
      <xdr:spPr>
        <a:xfrm>
          <a:off x="5859780" y="1432560"/>
          <a:ext cx="1798320" cy="86868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ysClr val="windowText" lastClr="000000"/>
              </a:solidFill>
            </a:rPr>
            <a:t>Chiffre</a:t>
          </a:r>
          <a:r>
            <a:rPr lang="en-GB" sz="1600" b="1" baseline="0">
              <a:solidFill>
                <a:sysClr val="windowText" lastClr="000000"/>
              </a:solidFill>
            </a:rPr>
            <a:t> d'affaire </a:t>
          </a:r>
          <a:endParaRPr lang="en-GB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617220</xdr:colOff>
      <xdr:row>6</xdr:row>
      <xdr:rowOff>60960</xdr:rowOff>
    </xdr:from>
    <xdr:to>
      <xdr:col>11</xdr:col>
      <xdr:colOff>655320</xdr:colOff>
      <xdr:row>11</xdr:row>
      <xdr:rowOff>15240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E9C054DB-D3AC-327F-A5F0-9A5C840CA3E1}"/>
            </a:ext>
          </a:extLst>
        </xdr:cNvPr>
        <xdr:cNvSpPr/>
      </xdr:nvSpPr>
      <xdr:spPr>
        <a:xfrm>
          <a:off x="7749540" y="1440180"/>
          <a:ext cx="1623060" cy="86868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</a:rPr>
            <a:t>Evolution du chiffre d'affaire</a:t>
          </a:r>
        </a:p>
      </xdr:txBody>
    </xdr:sp>
    <xdr:clientData/>
  </xdr:twoCellAnchor>
  <xdr:twoCellAnchor>
    <xdr:from>
      <xdr:col>11</xdr:col>
      <xdr:colOff>769620</xdr:colOff>
      <xdr:row>6</xdr:row>
      <xdr:rowOff>76200</xdr:rowOff>
    </xdr:from>
    <xdr:to>
      <xdr:col>13</xdr:col>
      <xdr:colOff>701040</xdr:colOff>
      <xdr:row>10</xdr:row>
      <xdr:rowOff>175260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54CE57BE-0BB1-0B67-976D-662961E059C9}"/>
            </a:ext>
          </a:extLst>
        </xdr:cNvPr>
        <xdr:cNvSpPr/>
      </xdr:nvSpPr>
      <xdr:spPr>
        <a:xfrm>
          <a:off x="9486900" y="1455420"/>
          <a:ext cx="1516380" cy="83058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</a:rPr>
            <a:t>Part</a:t>
          </a:r>
          <a:r>
            <a:rPr lang="en-GB" sz="1400" b="1" baseline="0">
              <a:solidFill>
                <a:sysClr val="windowText" lastClr="000000"/>
              </a:solidFill>
            </a:rPr>
            <a:t> des travaux urgent</a:t>
          </a:r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304800</xdr:colOff>
      <xdr:row>12</xdr:row>
      <xdr:rowOff>99060</xdr:rowOff>
    </xdr:from>
    <xdr:to>
      <xdr:col>11</xdr:col>
      <xdr:colOff>312420</xdr:colOff>
      <xdr:row>24</xdr:row>
      <xdr:rowOff>144780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8E1672D4-FA00-1D0F-3AC1-BB883C68E83E}"/>
            </a:ext>
          </a:extLst>
        </xdr:cNvPr>
        <xdr:cNvSpPr/>
      </xdr:nvSpPr>
      <xdr:spPr>
        <a:xfrm>
          <a:off x="5852160" y="2575560"/>
          <a:ext cx="3177540" cy="224028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ysClr val="windowText" lastClr="000000"/>
              </a:solidFill>
            </a:rPr>
            <a:t>Evolution du chiffre d'affaire </a:t>
          </a:r>
        </a:p>
      </xdr:txBody>
    </xdr:sp>
    <xdr:clientData/>
  </xdr:twoCellAnchor>
  <xdr:twoCellAnchor>
    <xdr:from>
      <xdr:col>11</xdr:col>
      <xdr:colOff>487680</xdr:colOff>
      <xdr:row>12</xdr:row>
      <xdr:rowOff>83820</xdr:rowOff>
    </xdr:from>
    <xdr:to>
      <xdr:col>16</xdr:col>
      <xdr:colOff>693420</xdr:colOff>
      <xdr:row>24</xdr:row>
      <xdr:rowOff>129540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E4A4709D-7156-917E-ADFA-340AC9547388}"/>
            </a:ext>
          </a:extLst>
        </xdr:cNvPr>
        <xdr:cNvSpPr/>
      </xdr:nvSpPr>
      <xdr:spPr>
        <a:xfrm>
          <a:off x="9204960" y="2560320"/>
          <a:ext cx="4168140" cy="224028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>
              <a:solidFill>
                <a:sysClr val="windowText" lastClr="000000"/>
              </a:solidFill>
            </a:rPr>
            <a:t>Chiffre d'affaire par</a:t>
          </a:r>
          <a:r>
            <a:rPr lang="en-GB" sz="1600" b="1" baseline="0">
              <a:solidFill>
                <a:sysClr val="windowText" lastClr="000000"/>
              </a:solidFill>
            </a:rPr>
            <a:t> travaux</a:t>
          </a:r>
          <a:endParaRPr lang="en-GB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60960</xdr:colOff>
      <xdr:row>7</xdr:row>
      <xdr:rowOff>152400</xdr:rowOff>
    </xdr:from>
    <xdr:to>
      <xdr:col>9</xdr:col>
      <xdr:colOff>510540</xdr:colOff>
      <xdr:row>11</xdr:row>
      <xdr:rowOff>0</xdr:rowOff>
    </xdr:to>
    <xdr:sp macro="" textlink="'Calcul &amp; TCD'!V13">
      <xdr:nvSpPr>
        <xdr:cNvPr id="41" name="ZoneTexte 40">
          <a:extLst>
            <a:ext uri="{FF2B5EF4-FFF2-40B4-BE49-F238E27FC236}">
              <a16:creationId xmlns:a16="http://schemas.microsoft.com/office/drawing/2014/main" id="{E96C82C2-F308-01D8-2850-02FBFC5D3431}"/>
            </a:ext>
          </a:extLst>
        </xdr:cNvPr>
        <xdr:cNvSpPr txBox="1"/>
      </xdr:nvSpPr>
      <xdr:spPr>
        <a:xfrm>
          <a:off x="6400800" y="1714500"/>
          <a:ext cx="1242060" cy="579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BE1E45C-C7DD-450C-8325-5403D8AFE861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t>76850</a:t>
          </a:fld>
          <a:endParaRPr lang="en-GB" sz="2400" b="1"/>
        </a:p>
      </xdr:txBody>
    </xdr:sp>
    <xdr:clientData/>
  </xdr:twoCellAnchor>
  <xdr:twoCellAnchor editAs="oneCell">
    <xdr:from>
      <xdr:col>9</xdr:col>
      <xdr:colOff>163219</xdr:colOff>
      <xdr:row>8</xdr:row>
      <xdr:rowOff>137161</xdr:rowOff>
    </xdr:from>
    <xdr:to>
      <xdr:col>9</xdr:col>
      <xdr:colOff>431893</xdr:colOff>
      <xdr:row>10</xdr:row>
      <xdr:rowOff>91440</xdr:rowOff>
    </xdr:to>
    <xdr:pic>
      <xdr:nvPicPr>
        <xdr:cNvPr id="42" name="Image 41">
          <a:extLst>
            <a:ext uri="{FF2B5EF4-FFF2-40B4-BE49-F238E27FC236}">
              <a16:creationId xmlns:a16="http://schemas.microsoft.com/office/drawing/2014/main" id="{4E2AC86B-B2A1-8BC1-19E0-E7331CF0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412" b="99177" l="1961" r="94608">
                      <a14:foregroundMark x1="89706" y1="3292" x2="51471" y2="412"/>
                      <a14:foregroundMark x1="51471" y1="412" x2="28922" y2="8642"/>
                      <a14:foregroundMark x1="28922" y1="8642" x2="16667" y2="31687"/>
                      <a14:foregroundMark x1="36275" y1="10288" x2="64216" y2="2881"/>
                      <a14:foregroundMark x1="64216" y1="2881" x2="90196" y2="2469"/>
                      <a14:foregroundMark x1="90196" y1="2469" x2="94118" y2="823"/>
                      <a14:foregroundMark x1="91667" y1="5350" x2="73039" y2="22222"/>
                      <a14:foregroundMark x1="73039" y1="22222" x2="45098" y2="30041"/>
                      <a14:foregroundMark x1="45098" y1="30041" x2="71078" y2="31276"/>
                      <a14:foregroundMark x1="71078" y1="31276" x2="55392" y2="47737"/>
                      <a14:foregroundMark x1="55392" y1="47737" x2="86765" y2="57613"/>
                      <a14:foregroundMark x1="86765" y1="57613" x2="50980" y2="68313"/>
                      <a14:foregroundMark x1="50980" y1="68313" x2="95588" y2="97942"/>
                      <a14:foregroundMark x1="95588" y1="97942" x2="37255" y2="88477"/>
                      <a14:foregroundMark x1="37255" y1="88477" x2="20098" y2="70782"/>
                      <a14:foregroundMark x1="20098" y1="70782" x2="18137" y2="65844"/>
                      <a14:foregroundMark x1="38725" y1="48148" x2="36765" y2="48560"/>
                      <a14:foregroundMark x1="17647" y1="33745" x2="8824" y2="53086"/>
                      <a14:foregroundMark x1="8824" y1="53086" x2="22059" y2="80247"/>
                      <a14:foregroundMark x1="22059" y1="80247" x2="58824" y2="99177"/>
                      <a14:foregroundMark x1="22549" y1="79835" x2="41176" y2="97531"/>
                      <a14:foregroundMark x1="41176" y1="97531" x2="64706" y2="99177"/>
                      <a14:foregroundMark x1="6863" y1="52263" x2="12745" y2="34156"/>
                      <a14:foregroundMark x1="17647" y1="30453" x2="4412" y2="46502"/>
                      <a14:foregroundMark x1="13725" y1="32099" x2="5882" y2="43621"/>
                      <a14:foregroundMark x1="72059" y1="33745" x2="74510" y2="56379"/>
                      <a14:foregroundMark x1="74510" y1="56379" x2="69608" y2="76955"/>
                      <a14:foregroundMark x1="69608" y1="76955" x2="92647" y2="91358"/>
                      <a14:foregroundMark x1="92647" y1="91358" x2="95098" y2="97119"/>
                      <a14:foregroundMark x1="78431" y1="62551" x2="83333" y2="84362"/>
                      <a14:foregroundMark x1="83333" y1="84362" x2="83333" y2="84362"/>
                      <a14:foregroundMark x1="93627" y1="5761" x2="76961" y2="23457"/>
                      <a14:foregroundMark x1="76961" y1="23457" x2="81863" y2="72840"/>
                      <a14:foregroundMark x1="81863" y1="72840" x2="83824" y2="74486"/>
                      <a14:foregroundMark x1="92157" y1="823" x2="81863" y2="29630"/>
                      <a14:foregroundMark x1="81863" y1="29630" x2="92157" y2="53086"/>
                      <a14:foregroundMark x1="92157" y1="53086" x2="81863" y2="78189"/>
                      <a14:foregroundMark x1="81863" y1="78189" x2="84314" y2="84774"/>
                      <a14:foregroundMark x1="16176" y1="30864" x2="10294" y2="61728"/>
                      <a14:foregroundMark x1="10294" y1="61728" x2="20588" y2="70782"/>
                      <a14:foregroundMark x1="17647" y1="33333" x2="5392" y2="46914"/>
                      <a14:foregroundMark x1="20098" y1="24280" x2="1961" y2="43621"/>
                      <a14:foregroundMark x1="1961" y1="43621" x2="5392" y2="45267"/>
                      <a14:foregroundMark x1="11275" y1="27984" x2="3431" y2="43210"/>
                      <a14:foregroundMark x1="20098" y1="74074" x2="4902" y2="56379"/>
                      <a14:foregroundMark x1="4902" y1="56379" x2="4412" y2="54321"/>
                      <a14:foregroundMark x1="18627" y1="71605" x2="2451" y2="56790"/>
                    </a14:backgroundRemoval>
                  </a14:imgEffect>
                  <a14:imgEffect>
                    <a14:saturation sat="33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295539" y="1882141"/>
          <a:ext cx="268674" cy="320039"/>
        </a:xfrm>
        <a:prstGeom prst="rect">
          <a:avLst/>
        </a:prstGeom>
      </xdr:spPr>
    </xdr:pic>
    <xdr:clientData/>
  </xdr:twoCellAnchor>
  <xdr:twoCellAnchor>
    <xdr:from>
      <xdr:col>10</xdr:col>
      <xdr:colOff>7620</xdr:colOff>
      <xdr:row>8</xdr:row>
      <xdr:rowOff>160020</xdr:rowOff>
    </xdr:from>
    <xdr:to>
      <xdr:col>11</xdr:col>
      <xdr:colOff>640080</xdr:colOff>
      <xdr:row>11</xdr:row>
      <xdr:rowOff>7620</xdr:rowOff>
    </xdr:to>
    <xdr:sp macro="" textlink="'Calcul &amp; TCD'!X13">
      <xdr:nvSpPr>
        <xdr:cNvPr id="43" name="ZoneTexte 42">
          <a:extLst>
            <a:ext uri="{FF2B5EF4-FFF2-40B4-BE49-F238E27FC236}">
              <a16:creationId xmlns:a16="http://schemas.microsoft.com/office/drawing/2014/main" id="{4430CC6F-7E04-D3A9-3973-7EDDCB95F4C1}"/>
            </a:ext>
          </a:extLst>
        </xdr:cNvPr>
        <xdr:cNvSpPr txBox="1"/>
      </xdr:nvSpPr>
      <xdr:spPr>
        <a:xfrm>
          <a:off x="7932420" y="1905000"/>
          <a:ext cx="1424940" cy="396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C9359E9-7567-41FB-82E7-AA601A63FF8C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t>836,48622</a:t>
          </a:fld>
          <a:r>
            <a:rPr lang="en-US" sz="1800" b="1" i="0" u="none" strike="noStrike">
              <a:solidFill>
                <a:srgbClr val="000000"/>
              </a:solidFill>
              <a:latin typeface="Aptos Narrow"/>
            </a:rPr>
            <a:t> %</a:t>
          </a:r>
          <a:endParaRPr lang="en-GB" sz="1800" b="1"/>
        </a:p>
      </xdr:txBody>
    </xdr:sp>
    <xdr:clientData/>
  </xdr:twoCellAnchor>
  <xdr:twoCellAnchor>
    <xdr:from>
      <xdr:col>12</xdr:col>
      <xdr:colOff>15240</xdr:colOff>
      <xdr:row>8</xdr:row>
      <xdr:rowOff>129540</xdr:rowOff>
    </xdr:from>
    <xdr:to>
      <xdr:col>14</xdr:col>
      <xdr:colOff>7620</xdr:colOff>
      <xdr:row>10</xdr:row>
      <xdr:rowOff>175260</xdr:rowOff>
    </xdr:to>
    <xdr:sp macro="" textlink="'Calcul &amp; TCD'!Z13">
      <xdr:nvSpPr>
        <xdr:cNvPr id="44" name="ZoneTexte 43">
          <a:extLst>
            <a:ext uri="{FF2B5EF4-FFF2-40B4-BE49-F238E27FC236}">
              <a16:creationId xmlns:a16="http://schemas.microsoft.com/office/drawing/2014/main" id="{28D2B49D-4955-1F86-9D27-BC2ED7A7D70E}"/>
            </a:ext>
          </a:extLst>
        </xdr:cNvPr>
        <xdr:cNvSpPr txBox="1"/>
      </xdr:nvSpPr>
      <xdr:spPr>
        <a:xfrm>
          <a:off x="9525000" y="1874520"/>
          <a:ext cx="1577340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1AA45B0-350B-4999-9C37-6B0C69C3AFD4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t>159,477425</a:t>
          </a:fld>
          <a:r>
            <a:rPr lang="en-US" sz="1800" b="1" i="0" u="none" strike="noStrike">
              <a:solidFill>
                <a:srgbClr val="000000"/>
              </a:solidFill>
              <a:latin typeface="Aptos Narrow"/>
            </a:rPr>
            <a:t> %</a:t>
          </a:r>
          <a:endParaRPr lang="en-GB" sz="1800" b="1"/>
        </a:p>
      </xdr:txBody>
    </xdr:sp>
    <xdr:clientData/>
  </xdr:twoCellAnchor>
  <xdr:twoCellAnchor>
    <xdr:from>
      <xdr:col>7</xdr:col>
      <xdr:colOff>441960</xdr:colOff>
      <xdr:row>14</xdr:row>
      <xdr:rowOff>114300</xdr:rowOff>
    </xdr:from>
    <xdr:to>
      <xdr:col>11</xdr:col>
      <xdr:colOff>76200</xdr:colOff>
      <xdr:row>24</xdr:row>
      <xdr:rowOff>53340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4E7A83D7-A8DE-4F9E-8069-486352AD02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335280</xdr:colOff>
      <xdr:row>3</xdr:row>
      <xdr:rowOff>0</xdr:rowOff>
    </xdr:from>
    <xdr:to>
      <xdr:col>13</xdr:col>
      <xdr:colOff>662940</xdr:colOff>
      <xdr:row>5</xdr:row>
      <xdr:rowOff>76199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7" name="Année(date) (année)">
              <a:extLst>
                <a:ext uri="{FF2B5EF4-FFF2-40B4-BE49-F238E27FC236}">
                  <a16:creationId xmlns:a16="http://schemas.microsoft.com/office/drawing/2014/main" id="{3B2F390A-0AF5-4096-984E-39C3E4B585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(date) (année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82640" y="830580"/>
              <a:ext cx="5082540" cy="4419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11</xdr:col>
      <xdr:colOff>693420</xdr:colOff>
      <xdr:row>14</xdr:row>
      <xdr:rowOff>91440</xdr:rowOff>
    </xdr:from>
    <xdr:to>
      <xdr:col>16</xdr:col>
      <xdr:colOff>563880</xdr:colOff>
      <xdr:row>24</xdr:row>
      <xdr:rowOff>15240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1CCDDDCD-3971-4DFF-9CE4-3F949ADB2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365760</xdr:colOff>
      <xdr:row>16</xdr:row>
      <xdr:rowOff>76200</xdr:rowOff>
    </xdr:from>
    <xdr:to>
      <xdr:col>15</xdr:col>
      <xdr:colOff>640080</xdr:colOff>
      <xdr:row>17</xdr:row>
      <xdr:rowOff>167640</xdr:rowOff>
    </xdr:to>
    <xdr:pic>
      <xdr:nvPicPr>
        <xdr:cNvPr id="71" name="Graphique 70" descr="Presse-papiers vérifié avec un remplissage uni">
          <a:extLst>
            <a:ext uri="{FF2B5EF4-FFF2-40B4-BE49-F238E27FC236}">
              <a16:creationId xmlns:a16="http://schemas.microsoft.com/office/drawing/2014/main" id="{4007E612-0423-4D19-B00E-C40876FAF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 flipH="1">
          <a:off x="12252960" y="3284220"/>
          <a:ext cx="274320" cy="274320"/>
        </a:xfrm>
        <a:prstGeom prst="rect">
          <a:avLst/>
        </a:prstGeom>
      </xdr:spPr>
    </xdr:pic>
    <xdr:clientData/>
  </xdr:twoCellAnchor>
  <xdr:twoCellAnchor>
    <xdr:from>
      <xdr:col>14</xdr:col>
      <xdr:colOff>15240</xdr:colOff>
      <xdr:row>9</xdr:row>
      <xdr:rowOff>22860</xdr:rowOff>
    </xdr:from>
    <xdr:to>
      <xdr:col>16</xdr:col>
      <xdr:colOff>0</xdr:colOff>
      <xdr:row>11</xdr:row>
      <xdr:rowOff>22860</xdr:rowOff>
    </xdr:to>
    <xdr:sp macro="" textlink="">
      <xdr:nvSpPr>
        <xdr:cNvPr id="64" name="ZoneTexte 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BF7EE9E-B15C-4D0E-B79B-CD0F42021B93}"/>
            </a:ext>
          </a:extLst>
        </xdr:cNvPr>
        <xdr:cNvSpPr txBox="1"/>
      </xdr:nvSpPr>
      <xdr:spPr>
        <a:xfrm>
          <a:off x="11109960" y="1950720"/>
          <a:ext cx="1569720" cy="365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tx1"/>
              </a:solidFill>
            </a:rPr>
            <a:t>TABLEAU</a:t>
          </a:r>
          <a:r>
            <a:rPr lang="en-GB" sz="1400" b="1" baseline="0">
              <a:solidFill>
                <a:schemeClr val="tx1"/>
              </a:solidFill>
            </a:rPr>
            <a:t> DE BORD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137160</xdr:colOff>
      <xdr:row>4</xdr:row>
      <xdr:rowOff>0</xdr:rowOff>
    </xdr:from>
    <xdr:to>
      <xdr:col>16</xdr:col>
      <xdr:colOff>0</xdr:colOff>
      <xdr:row>5</xdr:row>
      <xdr:rowOff>121920</xdr:rowOff>
    </xdr:to>
    <xdr:sp macro="" textlink="">
      <xdr:nvSpPr>
        <xdr:cNvPr id="65" name="ZoneTexte 6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6C86217-556A-4242-84EF-961CC2DCA45A}"/>
            </a:ext>
          </a:extLst>
        </xdr:cNvPr>
        <xdr:cNvSpPr txBox="1"/>
      </xdr:nvSpPr>
      <xdr:spPr>
        <a:xfrm>
          <a:off x="11231880" y="1013460"/>
          <a:ext cx="1447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FOURNISSEUR</a:t>
          </a:r>
        </a:p>
      </xdr:txBody>
    </xdr:sp>
    <xdr:clientData/>
  </xdr:twoCellAnchor>
  <xdr:twoCellAnchor>
    <xdr:from>
      <xdr:col>14</xdr:col>
      <xdr:colOff>137160</xdr:colOff>
      <xdr:row>5</xdr:row>
      <xdr:rowOff>99060</xdr:rowOff>
    </xdr:from>
    <xdr:to>
      <xdr:col>15</xdr:col>
      <xdr:colOff>739140</xdr:colOff>
      <xdr:row>7</xdr:row>
      <xdr:rowOff>15240</xdr:rowOff>
    </xdr:to>
    <xdr:sp macro="" textlink="">
      <xdr:nvSpPr>
        <xdr:cNvPr id="66" name="ZoneTexte 6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37306D9-1229-4232-9B04-4AFE2E046B61}"/>
            </a:ext>
          </a:extLst>
        </xdr:cNvPr>
        <xdr:cNvSpPr txBox="1"/>
      </xdr:nvSpPr>
      <xdr:spPr>
        <a:xfrm>
          <a:off x="11231880" y="129540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COMMANDES</a:t>
          </a:r>
        </a:p>
      </xdr:txBody>
    </xdr:sp>
    <xdr:clientData/>
  </xdr:twoCellAnchor>
  <xdr:twoCellAnchor>
    <xdr:from>
      <xdr:col>13</xdr:col>
      <xdr:colOff>731520</xdr:colOff>
      <xdr:row>7</xdr:row>
      <xdr:rowOff>91440</xdr:rowOff>
    </xdr:from>
    <xdr:to>
      <xdr:col>15</xdr:col>
      <xdr:colOff>541020</xdr:colOff>
      <xdr:row>9</xdr:row>
      <xdr:rowOff>7620</xdr:rowOff>
    </xdr:to>
    <xdr:sp macro="" textlink="">
      <xdr:nvSpPr>
        <xdr:cNvPr id="67" name="ZoneTexte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06420AF-A383-4AA6-A260-9CE6C5103238}"/>
            </a:ext>
          </a:extLst>
        </xdr:cNvPr>
        <xdr:cNvSpPr txBox="1"/>
      </xdr:nvSpPr>
      <xdr:spPr>
        <a:xfrm>
          <a:off x="11033760" y="1653540"/>
          <a:ext cx="13944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STOCK</a:t>
          </a:r>
        </a:p>
      </xdr:txBody>
    </xdr:sp>
    <xdr:clientData/>
  </xdr:twoCellAnchor>
  <xdr:twoCellAnchor>
    <xdr:from>
      <xdr:col>12</xdr:col>
      <xdr:colOff>594360</xdr:colOff>
      <xdr:row>25</xdr:row>
      <xdr:rowOff>152400</xdr:rowOff>
    </xdr:from>
    <xdr:to>
      <xdr:col>14</xdr:col>
      <xdr:colOff>457200</xdr:colOff>
      <xdr:row>28</xdr:row>
      <xdr:rowOff>0</xdr:rowOff>
    </xdr:to>
    <xdr:sp macro="" textlink="">
      <xdr:nvSpPr>
        <xdr:cNvPr id="68" name="ZoneTexte 6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BB320E4-57AE-40CE-97B9-895AB14B8786}"/>
            </a:ext>
          </a:extLst>
        </xdr:cNvPr>
        <xdr:cNvSpPr txBox="1"/>
      </xdr:nvSpPr>
      <xdr:spPr>
        <a:xfrm>
          <a:off x="10104120" y="5006340"/>
          <a:ext cx="1447800" cy="396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ARTISAN</a:t>
          </a:r>
        </a:p>
      </xdr:txBody>
    </xdr:sp>
    <xdr:clientData/>
  </xdr:twoCellAnchor>
  <xdr:twoCellAnchor>
    <xdr:from>
      <xdr:col>14</xdr:col>
      <xdr:colOff>0</xdr:colOff>
      <xdr:row>1</xdr:row>
      <xdr:rowOff>99060</xdr:rowOff>
    </xdr:from>
    <xdr:to>
      <xdr:col>15</xdr:col>
      <xdr:colOff>632460</xdr:colOff>
      <xdr:row>3</xdr:row>
      <xdr:rowOff>0</xdr:rowOff>
    </xdr:to>
    <xdr:sp macro="" textlink="">
      <xdr:nvSpPr>
        <xdr:cNvPr id="69" name="ZoneTexte 6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0754A5-7396-486B-BDCF-B8AA02EB8A91}"/>
            </a:ext>
          </a:extLst>
        </xdr:cNvPr>
        <xdr:cNvSpPr txBox="1"/>
      </xdr:nvSpPr>
      <xdr:spPr>
        <a:xfrm>
          <a:off x="11094720" y="480060"/>
          <a:ext cx="142494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13</xdr:col>
      <xdr:colOff>411480</xdr:colOff>
      <xdr:row>17</xdr:row>
      <xdr:rowOff>106680</xdr:rowOff>
    </xdr:from>
    <xdr:to>
      <xdr:col>13</xdr:col>
      <xdr:colOff>685800</xdr:colOff>
      <xdr:row>19</xdr:row>
      <xdr:rowOff>15240</xdr:rowOff>
    </xdr:to>
    <xdr:pic>
      <xdr:nvPicPr>
        <xdr:cNvPr id="72" name="Graphique 71" descr="Signal avec un remplissage uni">
          <a:extLst>
            <a:ext uri="{FF2B5EF4-FFF2-40B4-BE49-F238E27FC236}">
              <a16:creationId xmlns:a16="http://schemas.microsoft.com/office/drawing/2014/main" id="{3E29EA19-0F82-424A-842D-0C4562FE2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 flipH="1">
          <a:off x="10713720" y="3497580"/>
          <a:ext cx="274320" cy="274320"/>
        </a:xfrm>
        <a:prstGeom prst="rect">
          <a:avLst/>
        </a:prstGeom>
      </xdr:spPr>
    </xdr:pic>
    <xdr:clientData/>
  </xdr:twoCellAnchor>
  <xdr:twoCellAnchor>
    <xdr:from>
      <xdr:col>16</xdr:col>
      <xdr:colOff>504480</xdr:colOff>
      <xdr:row>1</xdr:row>
      <xdr:rowOff>22860</xdr:rowOff>
    </xdr:from>
    <xdr:to>
      <xdr:col>17</xdr:col>
      <xdr:colOff>0</xdr:colOff>
      <xdr:row>11</xdr:row>
      <xdr:rowOff>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C8E90F43-1118-4C77-9FD3-9F9A2D242A39}"/>
            </a:ext>
          </a:extLst>
        </xdr:cNvPr>
        <xdr:cNvSpPr/>
      </xdr:nvSpPr>
      <xdr:spPr>
        <a:xfrm>
          <a:off x="13184160" y="403860"/>
          <a:ext cx="288000" cy="1889760"/>
        </a:xfrm>
        <a:prstGeom prst="rect">
          <a:avLst/>
        </a:prstGeom>
        <a:gradFill>
          <a:gsLst>
            <a:gs pos="12000">
              <a:srgbClr val="FFFF00"/>
            </a:gs>
            <a:gs pos="46000">
              <a:srgbClr val="FFC000"/>
            </a:gs>
            <a:gs pos="71000">
              <a:srgbClr val="FFFF0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0</xdr:colOff>
      <xdr:row>2</xdr:row>
      <xdr:rowOff>129540</xdr:rowOff>
    </xdr:from>
    <xdr:to>
      <xdr:col>15</xdr:col>
      <xdr:colOff>655320</xdr:colOff>
      <xdr:row>4</xdr:row>
      <xdr:rowOff>60960</xdr:rowOff>
    </xdr:to>
    <xdr:sp macro="" textlink="">
      <xdr:nvSpPr>
        <xdr:cNvPr id="105" name="ZoneTexte 10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A97ABE7-3FCD-4759-BE45-363F71CA6DA3}"/>
            </a:ext>
          </a:extLst>
        </xdr:cNvPr>
        <xdr:cNvSpPr txBox="1"/>
      </xdr:nvSpPr>
      <xdr:spPr>
        <a:xfrm>
          <a:off x="11094720" y="777240"/>
          <a:ext cx="144780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1">
              <a:solidFill>
                <a:schemeClr val="bg1"/>
              </a:solidFill>
            </a:rPr>
            <a:t>ARTISAN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ivine Kenfack" refreshedDate="46303.215748726849" backgroundQuery="1" createdVersion="8" refreshedVersion="8" minRefreshableVersion="3" recordCount="0" supportSubquery="1" supportAdvancedDrill="1" xr:uid="{090F0A28-4909-4C17-B396-C5BD9B5CC09D}">
  <cacheSource type="external" connectionId="1"/>
  <cacheFields count="2">
    <cacheField name="[Measures].[Somme de CA]" caption="Somme de CA" numFmtId="0" hierarchy="23" level="32767"/>
    <cacheField name="[tblDashboardCA].[Année(date) (année)].[Année(date) (année)]" caption="Année(date) (année)" numFmtId="0" hierarchy="14" level="1">
      <sharedItems count="5">
        <s v="2022"/>
        <s v="2023"/>
        <s v="2024"/>
        <s v="2025"/>
        <s v="2026"/>
      </sharedItems>
    </cacheField>
  </cacheFields>
  <cacheHierarchies count="28">
    <cacheHierarchy uniqueName="[tblCATravaux].[Année]" caption="Année" attribute="1" defaultMemberUniqueName="[tblCATravaux].[Année].[All]" allUniqueName="[tblCATravaux].[Année].[All]" dimensionUniqueName="[tblCATravaux]" displayFolder="" count="0" memberValueDatatype="20" unbalanced="0"/>
    <cacheHierarchy uniqueName="[tblCATravaux].[Année(date)]" caption="Année(date)" attribute="1" time="1" defaultMemberUniqueName="[tblCATravaux].[Année(date)].[All]" allUniqueName="[tblCATravaux].[Année(date)].[All]" dimensionUniqueName="[tblCATravaux]" displayFolder="" count="0" memberValueDatatype="7" unbalanced="0"/>
    <cacheHierarchy uniqueName="[tblCATravaux].[Type de travaux]" caption="Type de travaux" attribute="1" defaultMemberUniqueName="[tblCATravaux].[Type de travaux].[All]" allUniqueName="[tblCATravaux].[Type de travaux].[All]" dimensionUniqueName="[tblCATravaux]" displayFolder="" count="0" memberValueDatatype="130" unbalanced="0"/>
    <cacheHierarchy uniqueName="[tblCATravaux].[CA type travaux]" caption="CA type travaux" attribute="1" defaultMemberUniqueName="[tblCATravaux].[CA type travaux].[All]" allUniqueName="[tblCATravaux].[CA type travaux].[All]" dimensionUniqueName="[tblCATravaux]" displayFolder="" count="0" memberValueDatatype="20" unbalanced="0"/>
    <cacheHierarchy uniqueName="[tblCATravaux].[Année(date) (année)]" caption="Année(date) (année)" attribute="1" defaultMemberUniqueName="[tblCATravaux].[Année(date) (année)].[All]" allUniqueName="[tblCATravaux].[Année(date) (année)].[All]" dimensionUniqueName="[tblCATravaux]" displayFolder="" count="0" memberValueDatatype="130" unbalanced="0"/>
    <cacheHierarchy uniqueName="[tblCATravaux].[Année(date) (trimestre)]" caption="Année(date) (trimestre)" attribute="1" defaultMemberUniqueName="[tblCATravaux].[Année(date) (trimestre)].[All]" allUniqueName="[tblCATravaux].[Année(date) (trimestre)].[All]" dimensionUniqueName="[tblCATravaux]" displayFolder="" count="0" memberValueDatatype="130" unbalanced="0"/>
    <cacheHierarchy uniqueName="[tblCATravaux].[Année(date) (mois)]" caption="Année(date) (mois)" attribute="1" defaultMemberUniqueName="[tblCATravaux].[Année(date) (mois)].[All]" allUniqueName="[tblCATravaux].[Année(date) (mois)].[All]" dimensionUniqueName="[tblCATravaux]" displayFolder="" count="0" memberValueDatatype="130" unbalanced="0"/>
    <cacheHierarchy uniqueName="[tblDashboardCA].[Année]" caption="Année" attribute="1" defaultMemberUniqueName="[tblDashboardCA].[Année].[All]" allUniqueName="[tblDashboardCA].[Année].[All]" dimensionUniqueName="[tblDashboardCA]" displayFolder="" count="0" memberValueDatatype="20" unbalanced="0"/>
    <cacheHierarchy uniqueName="[tblDashboardCA].[Année(date)]" caption="Année(date)" attribute="1" time="1" defaultMemberUniqueName="[tblDashboardCA].[Année(date)].[All]" allUniqueName="[tblDashboardCA].[Année(date)].[All]" dimensionUniqueName="[tblDashboardCA]" displayFolder="" count="0" memberValueDatatype="7" unbalanced="0"/>
    <cacheHierarchy uniqueName="[tblDashboardCA].[CA]" caption="CA" attribute="1" defaultMemberUniqueName="[tblDashboardCA].[CA].[All]" allUniqueName="[tblDashboardCA].[CA].[All]" dimensionUniqueName="[tblDashboardCA]" displayFolder="" count="0" memberValueDatatype="20" unbalanced="0"/>
    <cacheHierarchy uniqueName="[tblDashboardCA].[CA N-1]" caption="CA N-1" attribute="1" defaultMemberUniqueName="[tblDashboardCA].[CA N-1].[All]" allUniqueName="[tblDashboardCA].[CA N-1].[All]" dimensionUniqueName="[tblDashboardCA]" displayFolder="" count="0" memberValueDatatype="20" unbalanced="0"/>
    <cacheHierarchy uniqueName="[tblDashboardCA].[Évolution]" caption="Évolution" attribute="1" defaultMemberUniqueName="[tblDashboardCA].[Évolution].[All]" allUniqueName="[tblDashboardCA].[Évolution].[All]" dimensionUniqueName="[tblDashboardCA]" displayFolder="" count="0" memberValueDatatype="5" unbalanced="0"/>
    <cacheHierarchy uniqueName="[tblDashboardCA].[CA urgent]" caption="CA urgent" attribute="1" defaultMemberUniqueName="[tblDashboardCA].[CA urgent].[All]" allUniqueName="[tblDashboardCA].[CA urgent].[All]" dimensionUniqueName="[tblDashboardCA]" displayFolder="" count="0" memberValueDatatype="20" unbalanced="0"/>
    <cacheHierarchy uniqueName="[tblDashboardCA].[Part CA]" caption="Part CA" attribute="1" defaultMemberUniqueName="[tblDashboardCA].[Part CA].[All]" allUniqueName="[tblDashboardCA].[Part CA].[All]" dimensionUniqueName="[tblDashboardCA]" displayFolder="" count="0" memberValueDatatype="5" unbalanced="0"/>
    <cacheHierarchy uniqueName="[tblDashboardCA].[Année(date) (année)]" caption="Année(date) (année)" attribute="1" defaultMemberUniqueName="[tblDashboardCA].[Année(date) (année)].[All]" allUniqueName="[tblDashboardCA].[Année(date) (année)].[All]" dimensionUniqueName="[tblDashboardCA]" displayFolder="" count="2" memberValueDatatype="130" unbalanced="0">
      <fieldsUsage count="2">
        <fieldUsage x="-1"/>
        <fieldUsage x="1"/>
      </fieldsUsage>
    </cacheHierarchy>
    <cacheHierarchy uniqueName="[tblDashboardCA].[Année(date) (trimestre)]" caption="Année(date) (trimestre)" attribute="1" defaultMemberUniqueName="[tblDashboardCA].[Année(date) (trimestre)].[All]" allUniqueName="[tblDashboardCA].[Année(date) (trimestre)].[All]" dimensionUniqueName="[tblDashboardCA]" displayFolder="" count="0" memberValueDatatype="130" unbalanced="0"/>
    <cacheHierarchy uniqueName="[tblDashboardCA].[Année(date) (mois)]" caption="Année(date) (mois)" attribute="1" defaultMemberUniqueName="[tblDashboardCA].[Année(date) (mois)].[All]" allUniqueName="[tblDashboardCA].[Année(date) (mois)].[All]" dimensionUniqueName="[tblDashboardCA]" displayFolder="" count="0" memberValueDatatype="130" unbalanced="0"/>
    <cacheHierarchy uniqueName="[tblCATravaux].[Année(date) (index des mois)]" caption="Année(date) (index des mois)" attribute="1" defaultMemberUniqueName="[tblCATravaux].[Année(date) (index des mois)].[All]" allUniqueName="[tblCATravaux].[Année(date) (index des mois)].[All]" dimensionUniqueName="[tblCATravaux]" displayFolder="" count="0" memberValueDatatype="20" unbalanced="0" hidden="1"/>
    <cacheHierarchy uniqueName="[tblDashboardCA].[Année(date) (index des mois)]" caption="Année(date) (index des mois)" attribute="1" defaultMemberUniqueName="[tblDashboardCA].[Année(date) (index des mois)].[All]" allUniqueName="[tblDashboardCA].[Année(date) (index des mois)].[All]" dimensionUniqueName="[tblDashboardCA]" displayFolder="" count="0" memberValueDatatype="20" unbalanced="0" hidden="1"/>
    <cacheHierarchy uniqueName="[Measures].[__XL_Count tblDashboardCA]" caption="__XL_Count tblDashboardCA" measure="1" displayFolder="" measureGroup="tblDashboardCA" count="0" hidden="1"/>
    <cacheHierarchy uniqueName="[Measures].[__XL_Count tblCATravaux]" caption="__XL_Count tblCATravaux" measure="1" displayFolder="" measureGroup="tblCATravaux" count="0" hidden="1"/>
    <cacheHierarchy uniqueName="[Measures].[__No measures defined]" caption="__No measures defined" measure="1" displayFolder="" count="0" hidden="1"/>
    <cacheHierarchy uniqueName="[Measures].[Somme de Année]" caption="Somme de Année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CA]" caption="Somme de CA" measure="1" displayFolder="" measureGroup="tblDashboardC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Évolution]" caption="Somme de Évolution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Part CA]" caption="Somme de Part CA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Année 2]" caption="Somme de Année 2" measure="1" displayFolder="" measureGroup="tblCATravaux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A type travaux]" caption="Somme de CA type travaux" measure="1" displayFolder="" measureGroup="tblCATravaux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tblCATravaux" uniqueName="[tblCATravaux]" caption="tblCATravaux"/>
    <dimension name="tblDashboardCA" uniqueName="[tblDashboardCA]" caption="tblDashboardCA"/>
  </dimensions>
  <measureGroups count="2">
    <measureGroup name="tblCATravaux" caption="tblCATravaux"/>
    <measureGroup name="tblDashboardCA" caption="tblDashboardCA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ivine Kenfack" refreshedDate="46303.215749537034" backgroundQuery="1" createdVersion="8" refreshedVersion="8" minRefreshableVersion="3" recordCount="0" supportSubquery="1" supportAdvancedDrill="1" xr:uid="{30840948-E970-40F7-A35A-219AFC5E1BDF}">
  <cacheSource type="external" connectionId="1"/>
  <cacheFields count="2">
    <cacheField name="[tblDashboardCA].[Année(date) (année)].[Année(date) (année)]" caption="Année(date) (année)" numFmtId="0" hierarchy="14" level="1">
      <sharedItems count="4">
        <s v="2023"/>
        <s v="2024"/>
        <s v="2025"/>
        <s v="2026"/>
      </sharedItems>
    </cacheField>
    <cacheField name="[Measures].[Somme de Évolution]" caption="Somme de Évolution" numFmtId="0" hierarchy="24" level="32767"/>
  </cacheFields>
  <cacheHierarchies count="28">
    <cacheHierarchy uniqueName="[tblCATravaux].[Année]" caption="Année" attribute="1" defaultMemberUniqueName="[tblCATravaux].[Année].[All]" allUniqueName="[tblCATravaux].[Année].[All]" dimensionUniqueName="[tblCATravaux]" displayFolder="" count="0" memberValueDatatype="20" unbalanced="0"/>
    <cacheHierarchy uniqueName="[tblCATravaux].[Année(date)]" caption="Année(date)" attribute="1" time="1" defaultMemberUniqueName="[tblCATravaux].[Année(date)].[All]" allUniqueName="[tblCATravaux].[Année(date)].[All]" dimensionUniqueName="[tblCATravaux]" displayFolder="" count="0" memberValueDatatype="7" unbalanced="0"/>
    <cacheHierarchy uniqueName="[tblCATravaux].[Type de travaux]" caption="Type de travaux" attribute="1" defaultMemberUniqueName="[tblCATravaux].[Type de travaux].[All]" allUniqueName="[tblCATravaux].[Type de travaux].[All]" dimensionUniqueName="[tblCATravaux]" displayFolder="" count="0" memberValueDatatype="130" unbalanced="0"/>
    <cacheHierarchy uniqueName="[tblCATravaux].[CA type travaux]" caption="CA type travaux" attribute="1" defaultMemberUniqueName="[tblCATravaux].[CA type travaux].[All]" allUniqueName="[tblCATravaux].[CA type travaux].[All]" dimensionUniqueName="[tblCATravaux]" displayFolder="" count="0" memberValueDatatype="20" unbalanced="0"/>
    <cacheHierarchy uniqueName="[tblCATravaux].[Année(date) (année)]" caption="Année(date) (année)" attribute="1" defaultMemberUniqueName="[tblCATravaux].[Année(date) (année)].[All]" allUniqueName="[tblCATravaux].[Année(date) (année)].[All]" dimensionUniqueName="[tblCATravaux]" displayFolder="" count="0" memberValueDatatype="130" unbalanced="0"/>
    <cacheHierarchy uniqueName="[tblCATravaux].[Année(date) (trimestre)]" caption="Année(date) (trimestre)" attribute="1" defaultMemberUniqueName="[tblCATravaux].[Année(date) (trimestre)].[All]" allUniqueName="[tblCATravaux].[Année(date) (trimestre)].[All]" dimensionUniqueName="[tblCATravaux]" displayFolder="" count="0" memberValueDatatype="130" unbalanced="0"/>
    <cacheHierarchy uniqueName="[tblCATravaux].[Année(date) (mois)]" caption="Année(date) (mois)" attribute="1" defaultMemberUniqueName="[tblCATravaux].[Année(date) (mois)].[All]" allUniqueName="[tblCATravaux].[Année(date) (mois)].[All]" dimensionUniqueName="[tblCATravaux]" displayFolder="" count="0" memberValueDatatype="130" unbalanced="0"/>
    <cacheHierarchy uniqueName="[tblDashboardCA].[Année]" caption="Année" attribute="1" defaultMemberUniqueName="[tblDashboardCA].[Année].[All]" allUniqueName="[tblDashboardCA].[Année].[All]" dimensionUniqueName="[tblDashboardCA]" displayFolder="" count="0" memberValueDatatype="20" unbalanced="0"/>
    <cacheHierarchy uniqueName="[tblDashboardCA].[Année(date)]" caption="Année(date)" attribute="1" time="1" defaultMemberUniqueName="[tblDashboardCA].[Année(date)].[All]" allUniqueName="[tblDashboardCA].[Année(date)].[All]" dimensionUniqueName="[tblDashboardCA]" displayFolder="" count="0" memberValueDatatype="7" unbalanced="0"/>
    <cacheHierarchy uniqueName="[tblDashboardCA].[CA]" caption="CA" attribute="1" defaultMemberUniqueName="[tblDashboardCA].[CA].[All]" allUniqueName="[tblDashboardCA].[CA].[All]" dimensionUniqueName="[tblDashboardCA]" displayFolder="" count="0" memberValueDatatype="20" unbalanced="0"/>
    <cacheHierarchy uniqueName="[tblDashboardCA].[CA N-1]" caption="CA N-1" attribute="1" defaultMemberUniqueName="[tblDashboardCA].[CA N-1].[All]" allUniqueName="[tblDashboardCA].[CA N-1].[All]" dimensionUniqueName="[tblDashboardCA]" displayFolder="" count="0" memberValueDatatype="20" unbalanced="0"/>
    <cacheHierarchy uniqueName="[tblDashboardCA].[Évolution]" caption="Évolution" attribute="1" defaultMemberUniqueName="[tblDashboardCA].[Évolution].[All]" allUniqueName="[tblDashboardCA].[Évolution].[All]" dimensionUniqueName="[tblDashboardCA]" displayFolder="" count="0" memberValueDatatype="5" unbalanced="0"/>
    <cacheHierarchy uniqueName="[tblDashboardCA].[CA urgent]" caption="CA urgent" attribute="1" defaultMemberUniqueName="[tblDashboardCA].[CA urgent].[All]" allUniqueName="[tblDashboardCA].[CA urgent].[All]" dimensionUniqueName="[tblDashboardCA]" displayFolder="" count="0" memberValueDatatype="20" unbalanced="0"/>
    <cacheHierarchy uniqueName="[tblDashboardCA].[Part CA]" caption="Part CA" attribute="1" defaultMemberUniqueName="[tblDashboardCA].[Part CA].[All]" allUniqueName="[tblDashboardCA].[Part CA].[All]" dimensionUniqueName="[tblDashboardCA]" displayFolder="" count="0" memberValueDatatype="5" unbalanced="0"/>
    <cacheHierarchy uniqueName="[tblDashboardCA].[Année(date) (année)]" caption="Année(date) (année)" attribute="1" defaultMemberUniqueName="[tblDashboardCA].[Année(date) (année)].[All]" allUniqueName="[tblDashboardCA].[Année(date) (année)].[All]" dimensionUniqueName="[tblDashboardCA]" displayFolder="" count="2" memberValueDatatype="130" unbalanced="0">
      <fieldsUsage count="2">
        <fieldUsage x="-1"/>
        <fieldUsage x="0"/>
      </fieldsUsage>
    </cacheHierarchy>
    <cacheHierarchy uniqueName="[tblDashboardCA].[Année(date) (trimestre)]" caption="Année(date) (trimestre)" attribute="1" defaultMemberUniqueName="[tblDashboardCA].[Année(date) (trimestre)].[All]" allUniqueName="[tblDashboardCA].[Année(date) (trimestre)].[All]" dimensionUniqueName="[tblDashboardCA]" displayFolder="" count="0" memberValueDatatype="130" unbalanced="0"/>
    <cacheHierarchy uniqueName="[tblDashboardCA].[Année(date) (mois)]" caption="Année(date) (mois)" attribute="1" defaultMemberUniqueName="[tblDashboardCA].[Année(date) (mois)].[All]" allUniqueName="[tblDashboardCA].[Année(date) (mois)].[All]" dimensionUniqueName="[tblDashboardCA]" displayFolder="" count="0" memberValueDatatype="130" unbalanced="0"/>
    <cacheHierarchy uniqueName="[tblCATravaux].[Année(date) (index des mois)]" caption="Année(date) (index des mois)" attribute="1" defaultMemberUniqueName="[tblCATravaux].[Année(date) (index des mois)].[All]" allUniqueName="[tblCATravaux].[Année(date) (index des mois)].[All]" dimensionUniqueName="[tblCATravaux]" displayFolder="" count="0" memberValueDatatype="20" unbalanced="0" hidden="1"/>
    <cacheHierarchy uniqueName="[tblDashboardCA].[Année(date) (index des mois)]" caption="Année(date) (index des mois)" attribute="1" defaultMemberUniqueName="[tblDashboardCA].[Année(date) (index des mois)].[All]" allUniqueName="[tblDashboardCA].[Année(date) (index des mois)].[All]" dimensionUniqueName="[tblDashboardCA]" displayFolder="" count="0" memberValueDatatype="20" unbalanced="0" hidden="1"/>
    <cacheHierarchy uniqueName="[Measures].[__XL_Count tblDashboardCA]" caption="__XL_Count tblDashboardCA" measure="1" displayFolder="" measureGroup="tblDashboardCA" count="0" hidden="1"/>
    <cacheHierarchy uniqueName="[Measures].[__XL_Count tblCATravaux]" caption="__XL_Count tblCATravaux" measure="1" displayFolder="" measureGroup="tblCATravaux" count="0" hidden="1"/>
    <cacheHierarchy uniqueName="[Measures].[__No measures defined]" caption="__No measures defined" measure="1" displayFolder="" count="0" hidden="1"/>
    <cacheHierarchy uniqueName="[Measures].[Somme de Année]" caption="Somme de Année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CA]" caption="Somme de CA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Évolution]" caption="Somme de Évolution" measure="1" displayFolder="" measureGroup="tblDashboardC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Part CA]" caption="Somme de Part CA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Année 2]" caption="Somme de Année 2" measure="1" displayFolder="" measureGroup="tblCATravaux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A type travaux]" caption="Somme de CA type travaux" measure="1" displayFolder="" measureGroup="tblCATravaux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tblCATravaux" uniqueName="[tblCATravaux]" caption="tblCATravaux"/>
    <dimension name="tblDashboardCA" uniqueName="[tblDashboardCA]" caption="tblDashboardCA"/>
  </dimensions>
  <measureGroups count="2">
    <measureGroup name="tblCATravaux" caption="tblCATravaux"/>
    <measureGroup name="tblDashboardCA" caption="tblDashboardCA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ivine Kenfack" refreshedDate="46303.215750000003" backgroundQuery="1" createdVersion="8" refreshedVersion="8" minRefreshableVersion="3" recordCount="0" supportSubquery="1" supportAdvancedDrill="1" xr:uid="{E794C286-3919-42C1-94E1-9EE63616DE3E}">
  <cacheSource type="external" connectionId="1"/>
  <cacheFields count="2">
    <cacheField name="[tblDashboardCA].[Année(date) (année)].[Année(date) (année)]" caption="Année(date) (année)" numFmtId="0" hierarchy="14" level="1">
      <sharedItems count="5">
        <s v="2022"/>
        <s v="2023"/>
        <s v="2024"/>
        <s v="2025"/>
        <s v="2026"/>
      </sharedItems>
    </cacheField>
    <cacheField name="[Measures].[Somme de Part CA]" caption="Somme de Part CA" numFmtId="0" hierarchy="25" level="32767"/>
  </cacheFields>
  <cacheHierarchies count="28">
    <cacheHierarchy uniqueName="[tblCATravaux].[Année]" caption="Année" attribute="1" defaultMemberUniqueName="[tblCATravaux].[Année].[All]" allUniqueName="[tblCATravaux].[Année].[All]" dimensionUniqueName="[tblCATravaux]" displayFolder="" count="0" memberValueDatatype="20" unbalanced="0"/>
    <cacheHierarchy uniqueName="[tblCATravaux].[Année(date)]" caption="Année(date)" attribute="1" time="1" defaultMemberUniqueName="[tblCATravaux].[Année(date)].[All]" allUniqueName="[tblCATravaux].[Année(date)].[All]" dimensionUniqueName="[tblCATravaux]" displayFolder="" count="0" memberValueDatatype="7" unbalanced="0"/>
    <cacheHierarchy uniqueName="[tblCATravaux].[Type de travaux]" caption="Type de travaux" attribute="1" defaultMemberUniqueName="[tblCATravaux].[Type de travaux].[All]" allUniqueName="[tblCATravaux].[Type de travaux].[All]" dimensionUniqueName="[tblCATravaux]" displayFolder="" count="0" memberValueDatatype="130" unbalanced="0"/>
    <cacheHierarchy uniqueName="[tblCATravaux].[CA type travaux]" caption="CA type travaux" attribute="1" defaultMemberUniqueName="[tblCATravaux].[CA type travaux].[All]" allUniqueName="[tblCATravaux].[CA type travaux].[All]" dimensionUniqueName="[tblCATravaux]" displayFolder="" count="0" memberValueDatatype="20" unbalanced="0"/>
    <cacheHierarchy uniqueName="[tblCATravaux].[Année(date) (année)]" caption="Année(date) (année)" attribute="1" defaultMemberUniqueName="[tblCATravaux].[Année(date) (année)].[All]" allUniqueName="[tblCATravaux].[Année(date) (année)].[All]" dimensionUniqueName="[tblCATravaux]" displayFolder="" count="0" memberValueDatatype="130" unbalanced="0"/>
    <cacheHierarchy uniqueName="[tblCATravaux].[Année(date) (trimestre)]" caption="Année(date) (trimestre)" attribute="1" defaultMemberUniqueName="[tblCATravaux].[Année(date) (trimestre)].[All]" allUniqueName="[tblCATravaux].[Année(date) (trimestre)].[All]" dimensionUniqueName="[tblCATravaux]" displayFolder="" count="0" memberValueDatatype="130" unbalanced="0"/>
    <cacheHierarchy uniqueName="[tblCATravaux].[Année(date) (mois)]" caption="Année(date) (mois)" attribute="1" defaultMemberUniqueName="[tblCATravaux].[Année(date) (mois)].[All]" allUniqueName="[tblCATravaux].[Année(date) (mois)].[All]" dimensionUniqueName="[tblCATravaux]" displayFolder="" count="0" memberValueDatatype="130" unbalanced="0"/>
    <cacheHierarchy uniqueName="[tblDashboardCA].[Année]" caption="Année" attribute="1" defaultMemberUniqueName="[tblDashboardCA].[Année].[All]" allUniqueName="[tblDashboardCA].[Année].[All]" dimensionUniqueName="[tblDashboardCA]" displayFolder="" count="0" memberValueDatatype="20" unbalanced="0"/>
    <cacheHierarchy uniqueName="[tblDashboardCA].[Année(date)]" caption="Année(date)" attribute="1" time="1" defaultMemberUniqueName="[tblDashboardCA].[Année(date)].[All]" allUniqueName="[tblDashboardCA].[Année(date)].[All]" dimensionUniqueName="[tblDashboardCA]" displayFolder="" count="0" memberValueDatatype="7" unbalanced="0"/>
    <cacheHierarchy uniqueName="[tblDashboardCA].[CA]" caption="CA" attribute="1" defaultMemberUniqueName="[tblDashboardCA].[CA].[All]" allUniqueName="[tblDashboardCA].[CA].[All]" dimensionUniqueName="[tblDashboardCA]" displayFolder="" count="0" memberValueDatatype="20" unbalanced="0"/>
    <cacheHierarchy uniqueName="[tblDashboardCA].[CA N-1]" caption="CA N-1" attribute="1" defaultMemberUniqueName="[tblDashboardCA].[CA N-1].[All]" allUniqueName="[tblDashboardCA].[CA N-1].[All]" dimensionUniqueName="[tblDashboardCA]" displayFolder="" count="0" memberValueDatatype="20" unbalanced="0"/>
    <cacheHierarchy uniqueName="[tblDashboardCA].[Évolution]" caption="Évolution" attribute="1" defaultMemberUniqueName="[tblDashboardCA].[Évolution].[All]" allUniqueName="[tblDashboardCA].[Évolution].[All]" dimensionUniqueName="[tblDashboardCA]" displayFolder="" count="0" memberValueDatatype="5" unbalanced="0"/>
    <cacheHierarchy uniqueName="[tblDashboardCA].[CA urgent]" caption="CA urgent" attribute="1" defaultMemberUniqueName="[tblDashboardCA].[CA urgent].[All]" allUniqueName="[tblDashboardCA].[CA urgent].[All]" dimensionUniqueName="[tblDashboardCA]" displayFolder="" count="0" memberValueDatatype="20" unbalanced="0"/>
    <cacheHierarchy uniqueName="[tblDashboardCA].[Part CA]" caption="Part CA" attribute="1" defaultMemberUniqueName="[tblDashboardCA].[Part CA].[All]" allUniqueName="[tblDashboardCA].[Part CA].[All]" dimensionUniqueName="[tblDashboardCA]" displayFolder="" count="0" memberValueDatatype="5" unbalanced="0"/>
    <cacheHierarchy uniqueName="[tblDashboardCA].[Année(date) (année)]" caption="Année(date) (année)" attribute="1" defaultMemberUniqueName="[tblDashboardCA].[Année(date) (année)].[All]" allUniqueName="[tblDashboardCA].[Année(date) (année)].[All]" dimensionUniqueName="[tblDashboardCA]" displayFolder="" count="2" memberValueDatatype="130" unbalanced="0">
      <fieldsUsage count="2">
        <fieldUsage x="-1"/>
        <fieldUsage x="0"/>
      </fieldsUsage>
    </cacheHierarchy>
    <cacheHierarchy uniqueName="[tblDashboardCA].[Année(date) (trimestre)]" caption="Année(date) (trimestre)" attribute="1" defaultMemberUniqueName="[tblDashboardCA].[Année(date) (trimestre)].[All]" allUniqueName="[tblDashboardCA].[Année(date) (trimestre)].[All]" dimensionUniqueName="[tblDashboardCA]" displayFolder="" count="0" memberValueDatatype="130" unbalanced="0"/>
    <cacheHierarchy uniqueName="[tblDashboardCA].[Année(date) (mois)]" caption="Année(date) (mois)" attribute="1" defaultMemberUniqueName="[tblDashboardCA].[Année(date) (mois)].[All]" allUniqueName="[tblDashboardCA].[Année(date) (mois)].[All]" dimensionUniqueName="[tblDashboardCA]" displayFolder="" count="0" memberValueDatatype="130" unbalanced="0"/>
    <cacheHierarchy uniqueName="[tblCATravaux].[Année(date) (index des mois)]" caption="Année(date) (index des mois)" attribute="1" defaultMemberUniqueName="[tblCATravaux].[Année(date) (index des mois)].[All]" allUniqueName="[tblCATravaux].[Année(date) (index des mois)].[All]" dimensionUniqueName="[tblCATravaux]" displayFolder="" count="0" memberValueDatatype="20" unbalanced="0" hidden="1"/>
    <cacheHierarchy uniqueName="[tblDashboardCA].[Année(date) (index des mois)]" caption="Année(date) (index des mois)" attribute="1" defaultMemberUniqueName="[tblDashboardCA].[Année(date) (index des mois)].[All]" allUniqueName="[tblDashboardCA].[Année(date) (index des mois)].[All]" dimensionUniqueName="[tblDashboardCA]" displayFolder="" count="0" memberValueDatatype="20" unbalanced="0" hidden="1"/>
    <cacheHierarchy uniqueName="[Measures].[__XL_Count tblDashboardCA]" caption="__XL_Count tblDashboardCA" measure="1" displayFolder="" measureGroup="tblDashboardCA" count="0" hidden="1"/>
    <cacheHierarchy uniqueName="[Measures].[__XL_Count tblCATravaux]" caption="__XL_Count tblCATravaux" measure="1" displayFolder="" measureGroup="tblCATravaux" count="0" hidden="1"/>
    <cacheHierarchy uniqueName="[Measures].[__No measures defined]" caption="__No measures defined" measure="1" displayFolder="" count="0" hidden="1"/>
    <cacheHierarchy uniqueName="[Measures].[Somme de Année]" caption="Somme de Année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CA]" caption="Somme de CA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Évolution]" caption="Somme de Évolution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Part CA]" caption="Somme de Part CA" measure="1" displayFolder="" measureGroup="tblDashboardC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Année 2]" caption="Somme de Année 2" measure="1" displayFolder="" measureGroup="tblCATravaux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A type travaux]" caption="Somme de CA type travaux" measure="1" displayFolder="" measureGroup="tblCATravaux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tblCATravaux" uniqueName="[tblCATravaux]" caption="tblCATravaux"/>
    <dimension name="tblDashboardCA" uniqueName="[tblDashboardCA]" caption="tblDashboardCA"/>
  </dimensions>
  <measureGroups count="2">
    <measureGroup name="tblCATravaux" caption="tblCATravaux"/>
    <measureGroup name="tblDashboardCA" caption="tblDashboardCA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ivine Kenfack" refreshedDate="46303.215750810188" backgroundQuery="1" createdVersion="8" refreshedVersion="8" minRefreshableVersion="3" recordCount="0" supportSubquery="1" supportAdvancedDrill="1" xr:uid="{9EB623E1-E763-4D42-BBFF-A26C5CC4A878}">
  <cacheSource type="external" connectionId="1"/>
  <cacheFields count="3">
    <cacheField name="[Measures].[Somme de CA type travaux]" caption="Somme de CA type travaux" numFmtId="0" hierarchy="27" level="32767"/>
    <cacheField name="[tblCATravaux].[Type de travaux].[Type de travaux]" caption="Type de travaux" numFmtId="0" hierarchy="2" level="1">
      <sharedItems count="7">
        <s v="Climatisation"/>
        <s v="Electricite"/>
        <s v="Maconnerie"/>
        <s v="Menuiserie"/>
        <s v="Peinture"/>
        <s v="Plomberie"/>
        <s v="Toiture"/>
      </sharedItems>
    </cacheField>
    <cacheField name="[tblDashboardCA].[Année(date) (année)].[Année(date) (année)]" caption="Année(date) (année)" numFmtId="0" hierarchy="14" level="1">
      <sharedItems containsSemiMixedTypes="0" containsNonDate="0" containsString="0"/>
    </cacheField>
  </cacheFields>
  <cacheHierarchies count="28">
    <cacheHierarchy uniqueName="[tblCATravaux].[Année]" caption="Année" attribute="1" defaultMemberUniqueName="[tblCATravaux].[Année].[All]" allUniqueName="[tblCATravaux].[Année].[All]" dimensionUniqueName="[tblCATravaux]" displayFolder="" count="0" memberValueDatatype="20" unbalanced="0"/>
    <cacheHierarchy uniqueName="[tblCATravaux].[Année(date)]" caption="Année(date)" attribute="1" time="1" defaultMemberUniqueName="[tblCATravaux].[Année(date)].[All]" allUniqueName="[tblCATravaux].[Année(date)].[All]" dimensionUniqueName="[tblCATravaux]" displayFolder="" count="0" memberValueDatatype="7" unbalanced="0"/>
    <cacheHierarchy uniqueName="[tblCATravaux].[Type de travaux]" caption="Type de travaux" attribute="1" defaultMemberUniqueName="[tblCATravaux].[Type de travaux].[All]" allUniqueName="[tblCATravaux].[Type de travaux].[All]" dimensionUniqueName="[tblCATravaux]" displayFolder="" count="2" memberValueDatatype="130" unbalanced="0">
      <fieldsUsage count="2">
        <fieldUsage x="-1"/>
        <fieldUsage x="1"/>
      </fieldsUsage>
    </cacheHierarchy>
    <cacheHierarchy uniqueName="[tblCATravaux].[CA type travaux]" caption="CA type travaux" attribute="1" defaultMemberUniqueName="[tblCATravaux].[CA type travaux].[All]" allUniqueName="[tblCATravaux].[CA type travaux].[All]" dimensionUniqueName="[tblCATravaux]" displayFolder="" count="0" memberValueDatatype="20" unbalanced="0"/>
    <cacheHierarchy uniqueName="[tblCATravaux].[Année(date) (année)]" caption="Année(date) (année)" attribute="1" defaultMemberUniqueName="[tblCATravaux].[Année(date) (année)].[All]" allUniqueName="[tblCATravaux].[Année(date) (année)].[All]" dimensionUniqueName="[tblCATravaux]" displayFolder="" count="0" memberValueDatatype="130" unbalanced="0"/>
    <cacheHierarchy uniqueName="[tblCATravaux].[Année(date) (trimestre)]" caption="Année(date) (trimestre)" attribute="1" defaultMemberUniqueName="[tblCATravaux].[Année(date) (trimestre)].[All]" allUniqueName="[tblCATravaux].[Année(date) (trimestre)].[All]" dimensionUniqueName="[tblCATravaux]" displayFolder="" count="0" memberValueDatatype="130" unbalanced="0"/>
    <cacheHierarchy uniqueName="[tblCATravaux].[Année(date) (mois)]" caption="Année(date) (mois)" attribute="1" defaultMemberUniqueName="[tblCATravaux].[Année(date) (mois)].[All]" allUniqueName="[tblCATravaux].[Année(date) (mois)].[All]" dimensionUniqueName="[tblCATravaux]" displayFolder="" count="0" memberValueDatatype="130" unbalanced="0"/>
    <cacheHierarchy uniqueName="[tblDashboardCA].[Année]" caption="Année" attribute="1" defaultMemberUniqueName="[tblDashboardCA].[Année].[All]" allUniqueName="[tblDashboardCA].[Année].[All]" dimensionUniqueName="[tblDashboardCA]" displayFolder="" count="0" memberValueDatatype="20" unbalanced="0"/>
    <cacheHierarchy uniqueName="[tblDashboardCA].[Année(date)]" caption="Année(date)" attribute="1" time="1" defaultMemberUniqueName="[tblDashboardCA].[Année(date)].[All]" allUniqueName="[tblDashboardCA].[Année(date)].[All]" dimensionUniqueName="[tblDashboardCA]" displayFolder="" count="0" memberValueDatatype="7" unbalanced="0"/>
    <cacheHierarchy uniqueName="[tblDashboardCA].[CA]" caption="CA" attribute="1" defaultMemberUniqueName="[tblDashboardCA].[CA].[All]" allUniqueName="[tblDashboardCA].[CA].[All]" dimensionUniqueName="[tblDashboardCA]" displayFolder="" count="0" memberValueDatatype="20" unbalanced="0"/>
    <cacheHierarchy uniqueName="[tblDashboardCA].[CA N-1]" caption="CA N-1" attribute="1" defaultMemberUniqueName="[tblDashboardCA].[CA N-1].[All]" allUniqueName="[tblDashboardCA].[CA N-1].[All]" dimensionUniqueName="[tblDashboardCA]" displayFolder="" count="0" memberValueDatatype="20" unbalanced="0"/>
    <cacheHierarchy uniqueName="[tblDashboardCA].[Évolution]" caption="Évolution" attribute="1" defaultMemberUniqueName="[tblDashboardCA].[Évolution].[All]" allUniqueName="[tblDashboardCA].[Évolution].[All]" dimensionUniqueName="[tblDashboardCA]" displayFolder="" count="0" memberValueDatatype="5" unbalanced="0"/>
    <cacheHierarchy uniqueName="[tblDashboardCA].[CA urgent]" caption="CA urgent" attribute="1" defaultMemberUniqueName="[tblDashboardCA].[CA urgent].[All]" allUniqueName="[tblDashboardCA].[CA urgent].[All]" dimensionUniqueName="[tblDashboardCA]" displayFolder="" count="0" memberValueDatatype="20" unbalanced="0"/>
    <cacheHierarchy uniqueName="[tblDashboardCA].[Part CA]" caption="Part CA" attribute="1" defaultMemberUniqueName="[tblDashboardCA].[Part CA].[All]" allUniqueName="[tblDashboardCA].[Part CA].[All]" dimensionUniqueName="[tblDashboardCA]" displayFolder="" count="0" memberValueDatatype="5" unbalanced="0"/>
    <cacheHierarchy uniqueName="[tblDashboardCA].[Année(date) (année)]" caption="Année(date) (année)" attribute="1" defaultMemberUniqueName="[tblDashboardCA].[Année(date) (année)].[All]" allUniqueName="[tblDashboardCA].[Année(date) (année)].[All]" dimensionUniqueName="[tblDashboardCA]" displayFolder="" count="2" memberValueDatatype="130" unbalanced="0">
      <fieldsUsage count="2">
        <fieldUsage x="-1"/>
        <fieldUsage x="2"/>
      </fieldsUsage>
    </cacheHierarchy>
    <cacheHierarchy uniqueName="[tblDashboardCA].[Année(date) (trimestre)]" caption="Année(date) (trimestre)" attribute="1" defaultMemberUniqueName="[tblDashboardCA].[Année(date) (trimestre)].[All]" allUniqueName="[tblDashboardCA].[Année(date) (trimestre)].[All]" dimensionUniqueName="[tblDashboardCA]" displayFolder="" count="0" memberValueDatatype="130" unbalanced="0"/>
    <cacheHierarchy uniqueName="[tblDashboardCA].[Année(date) (mois)]" caption="Année(date) (mois)" attribute="1" defaultMemberUniqueName="[tblDashboardCA].[Année(date) (mois)].[All]" allUniqueName="[tblDashboardCA].[Année(date) (mois)].[All]" dimensionUniqueName="[tblDashboardCA]" displayFolder="" count="0" memberValueDatatype="130" unbalanced="0"/>
    <cacheHierarchy uniqueName="[tblCATravaux].[Année(date) (index des mois)]" caption="Année(date) (index des mois)" attribute="1" defaultMemberUniqueName="[tblCATravaux].[Année(date) (index des mois)].[All]" allUniqueName="[tblCATravaux].[Année(date) (index des mois)].[All]" dimensionUniqueName="[tblCATravaux]" displayFolder="" count="0" memberValueDatatype="20" unbalanced="0" hidden="1"/>
    <cacheHierarchy uniqueName="[tblDashboardCA].[Année(date) (index des mois)]" caption="Année(date) (index des mois)" attribute="1" defaultMemberUniqueName="[tblDashboardCA].[Année(date) (index des mois)].[All]" allUniqueName="[tblDashboardCA].[Année(date) (index des mois)].[All]" dimensionUniqueName="[tblDashboardCA]" displayFolder="" count="0" memberValueDatatype="20" unbalanced="0" hidden="1"/>
    <cacheHierarchy uniqueName="[Measures].[__XL_Count tblDashboardCA]" caption="__XL_Count tblDashboardCA" measure="1" displayFolder="" measureGroup="tblDashboardCA" count="0" hidden="1"/>
    <cacheHierarchy uniqueName="[Measures].[__XL_Count tblCATravaux]" caption="__XL_Count tblCATravaux" measure="1" displayFolder="" measureGroup="tblCATravaux" count="0" hidden="1"/>
    <cacheHierarchy uniqueName="[Measures].[__No measures defined]" caption="__No measures defined" measure="1" displayFolder="" count="0" hidden="1"/>
    <cacheHierarchy uniqueName="[Measures].[Somme de Année]" caption="Somme de Année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CA]" caption="Somme de CA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Évolution]" caption="Somme de Évolution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Part CA]" caption="Somme de Part CA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Année 2]" caption="Somme de Année 2" measure="1" displayFolder="" measureGroup="tblCATravaux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A type travaux]" caption="Somme de CA type travaux" measure="1" displayFolder="" measureGroup="tblCATravaux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tblCATravaux" uniqueName="[tblCATravaux]" caption="tblCATravaux"/>
    <dimension name="tblDashboardCA" uniqueName="[tblDashboardCA]" caption="tblDashboardCA"/>
  </dimensions>
  <measureGroups count="2">
    <measureGroup name="tblCATravaux" caption="tblCATravaux"/>
    <measureGroup name="tblDashboardCA" caption="tblDashboardCA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ivine Kenfack" refreshedDate="46303.182014814818" backgroundQuery="1" createdVersion="3" refreshedVersion="8" minRefreshableVersion="3" recordCount="0" supportSubquery="1" supportAdvancedDrill="1" xr:uid="{897AED49-9FFC-40DF-9B08-9A55AE95483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tblCATravaux].[Année]" caption="Année" attribute="1" defaultMemberUniqueName="[tblCATravaux].[Année].[All]" allUniqueName="[tblCATravaux].[Année].[All]" dimensionUniqueName="[tblCATravaux]" displayFolder="" count="0" memberValueDatatype="20" unbalanced="0"/>
    <cacheHierarchy uniqueName="[tblCATravaux].[Année(date)]" caption="Année(date)" attribute="1" time="1" defaultMemberUniqueName="[tblCATravaux].[Année(date)].[All]" allUniqueName="[tblCATravaux].[Année(date)].[All]" dimensionUniqueName="[tblCATravaux]" displayFolder="" count="0" memberValueDatatype="7" unbalanced="0"/>
    <cacheHierarchy uniqueName="[tblCATravaux].[Type de travaux]" caption="Type de travaux" attribute="1" defaultMemberUniqueName="[tblCATravaux].[Type de travaux].[All]" allUniqueName="[tblCATravaux].[Type de travaux].[All]" dimensionUniqueName="[tblCATravaux]" displayFolder="" count="0" memberValueDatatype="130" unbalanced="0"/>
    <cacheHierarchy uniqueName="[tblCATravaux].[CA type travaux]" caption="CA type travaux" attribute="1" defaultMemberUniqueName="[tblCATravaux].[CA type travaux].[All]" allUniqueName="[tblCATravaux].[CA type travaux].[All]" dimensionUniqueName="[tblCATravaux]" displayFolder="" count="0" memberValueDatatype="20" unbalanced="0"/>
    <cacheHierarchy uniqueName="[tblCATravaux].[Année(date) (année)]" caption="Année(date) (année)" attribute="1" defaultMemberUniqueName="[tblCATravaux].[Année(date) (année)].[All]" allUniqueName="[tblCATravaux].[Année(date) (année)].[All]" dimensionUniqueName="[tblCATravaux]" displayFolder="" count="0" memberValueDatatype="130" unbalanced="0"/>
    <cacheHierarchy uniqueName="[tblCATravaux].[Année(date) (trimestre)]" caption="Année(date) (trimestre)" attribute="1" defaultMemberUniqueName="[tblCATravaux].[Année(date) (trimestre)].[All]" allUniqueName="[tblCATravaux].[Année(date) (trimestre)].[All]" dimensionUniqueName="[tblCATravaux]" displayFolder="" count="0" memberValueDatatype="130" unbalanced="0"/>
    <cacheHierarchy uniqueName="[tblCATravaux].[Année(date) (mois)]" caption="Année(date) (mois)" attribute="1" defaultMemberUniqueName="[tblCATravaux].[Année(date) (mois)].[All]" allUniqueName="[tblCATravaux].[Année(date) (mois)].[All]" dimensionUniqueName="[tblCATravaux]" displayFolder="" count="0" memberValueDatatype="130" unbalanced="0"/>
    <cacheHierarchy uniqueName="[tblDashboardCA].[Année]" caption="Année" attribute="1" defaultMemberUniqueName="[tblDashboardCA].[Année].[All]" allUniqueName="[tblDashboardCA].[Année].[All]" dimensionUniqueName="[tblDashboardCA]" displayFolder="" count="0" memberValueDatatype="20" unbalanced="0"/>
    <cacheHierarchy uniqueName="[tblDashboardCA].[Année(date)]" caption="Année(date)" attribute="1" time="1" defaultMemberUniqueName="[tblDashboardCA].[Année(date)].[All]" allUniqueName="[tblDashboardCA].[Année(date)].[All]" dimensionUniqueName="[tblDashboardCA]" displayFolder="" count="0" memberValueDatatype="7" unbalanced="0"/>
    <cacheHierarchy uniqueName="[tblDashboardCA].[CA]" caption="CA" attribute="1" defaultMemberUniqueName="[tblDashboardCA].[CA].[All]" allUniqueName="[tblDashboardCA].[CA].[All]" dimensionUniqueName="[tblDashboardCA]" displayFolder="" count="0" memberValueDatatype="20" unbalanced="0"/>
    <cacheHierarchy uniqueName="[tblDashboardCA].[CA N-1]" caption="CA N-1" attribute="1" defaultMemberUniqueName="[tblDashboardCA].[CA N-1].[All]" allUniqueName="[tblDashboardCA].[CA N-1].[All]" dimensionUniqueName="[tblDashboardCA]" displayFolder="" count="0" memberValueDatatype="20" unbalanced="0"/>
    <cacheHierarchy uniqueName="[tblDashboardCA].[Évolution]" caption="Évolution" attribute="1" defaultMemberUniqueName="[tblDashboardCA].[Évolution].[All]" allUniqueName="[tblDashboardCA].[Évolution].[All]" dimensionUniqueName="[tblDashboardCA]" displayFolder="" count="0" memberValueDatatype="5" unbalanced="0"/>
    <cacheHierarchy uniqueName="[tblDashboardCA].[CA urgent]" caption="CA urgent" attribute="1" defaultMemberUniqueName="[tblDashboardCA].[CA urgent].[All]" allUniqueName="[tblDashboardCA].[CA urgent].[All]" dimensionUniqueName="[tblDashboardCA]" displayFolder="" count="0" memberValueDatatype="20" unbalanced="0"/>
    <cacheHierarchy uniqueName="[tblDashboardCA].[Part CA]" caption="Part CA" attribute="1" defaultMemberUniqueName="[tblDashboardCA].[Part CA].[All]" allUniqueName="[tblDashboardCA].[Part CA].[All]" dimensionUniqueName="[tblDashboardCA]" displayFolder="" count="0" memberValueDatatype="5" unbalanced="0"/>
    <cacheHierarchy uniqueName="[tblDashboardCA].[Année(date) (année)]" caption="Année(date) (année)" attribute="1" defaultMemberUniqueName="[tblDashboardCA].[Année(date) (année)].[All]" allUniqueName="[tblDashboardCA].[Année(date) (année)].[All]" dimensionUniqueName="[tblDashboardCA]" displayFolder="" count="2" memberValueDatatype="130" unbalanced="0"/>
    <cacheHierarchy uniqueName="[tblDashboardCA].[Année(date) (trimestre)]" caption="Année(date) (trimestre)" attribute="1" defaultMemberUniqueName="[tblDashboardCA].[Année(date) (trimestre)].[All]" allUniqueName="[tblDashboardCA].[Année(date) (trimestre)].[All]" dimensionUniqueName="[tblDashboardCA]" displayFolder="" count="0" memberValueDatatype="130" unbalanced="0"/>
    <cacheHierarchy uniqueName="[tblDashboardCA].[Année(date) (mois)]" caption="Année(date) (mois)" attribute="1" defaultMemberUniqueName="[tblDashboardCA].[Année(date) (mois)].[All]" allUniqueName="[tblDashboardCA].[Année(date) (mois)].[All]" dimensionUniqueName="[tblDashboardCA]" displayFolder="" count="0" memberValueDatatype="130" unbalanced="0"/>
    <cacheHierarchy uniqueName="[tblCATravaux].[Année(date) (index des mois)]" caption="Année(date) (index des mois)" attribute="1" defaultMemberUniqueName="[tblCATravaux].[Année(date) (index des mois)].[All]" allUniqueName="[tblCATravaux].[Année(date) (index des mois)].[All]" dimensionUniqueName="[tblCATravaux]" displayFolder="" count="0" memberValueDatatype="20" unbalanced="0" hidden="1"/>
    <cacheHierarchy uniqueName="[tblDashboardCA].[Année(date) (index des mois)]" caption="Année(date) (index des mois)" attribute="1" defaultMemberUniqueName="[tblDashboardCA].[Année(date) (index des mois)].[All]" allUniqueName="[tblDashboardCA].[Année(date) (index des mois)].[All]" dimensionUniqueName="[tblDashboardCA]" displayFolder="" count="0" memberValueDatatype="20" unbalanced="0" hidden="1"/>
    <cacheHierarchy uniqueName="[Measures].[__XL_Count tblDashboardCA]" caption="__XL_Count tblDashboardCA" measure="1" displayFolder="" measureGroup="tblDashboardCA" count="0" hidden="1"/>
    <cacheHierarchy uniqueName="[Measures].[__XL_Count tblCATravaux]" caption="__XL_Count tblCATravaux" measure="1" displayFolder="" measureGroup="tblCATravaux" count="0" hidden="1"/>
    <cacheHierarchy uniqueName="[Measures].[__No measures defined]" caption="__No measures defined" measure="1" displayFolder="" count="0" hidden="1"/>
    <cacheHierarchy uniqueName="[Measures].[Somme de Année]" caption="Somme de Année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CA]" caption="Somme de CA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Évolution]" caption="Somme de Évolution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Part CA]" caption="Somme de Part CA" measure="1" displayFolder="" measureGroup="tblDashboardCA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Année 2]" caption="Somme de Année 2" measure="1" displayFolder="" measureGroup="tblCATravaux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me de CA type travaux]" caption="Somme de CA type travaux" measure="1" displayFolder="" measureGroup="tblCATravaux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59403179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91422C-1C8B-492D-95F8-C864405431E2}" name="Tableau croisé dynamique8" cacheId="767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9">
  <location ref="AA5:AB13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llDrilled="1" subtotalTop="0" showAll="0" dataSourceSort="1" defaultSubtotal="0" defaultAttributeDrillState="1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me de CA type travaux" fld="0" baseField="0" baseItem="0" numFmtId="44"/>
  </dataFields>
  <formats count="7">
    <format dxfId="123">
      <pivotArea outline="0" collapsedLevelsAreSubtotals="1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1" type="button" dataOnly="0" labelOnly="1" outline="0" axis="axisRow" fieldPosition="0"/>
    </format>
    <format dxfId="92">
      <pivotArea dataOnly="0" labelOnly="1" fieldPosition="0">
        <references count="1">
          <reference field="1" count="0"/>
        </references>
      </pivotArea>
    </format>
    <format dxfId="91">
      <pivotArea dataOnly="0" labelOnly="1" grandRow="1" outline="0" fieldPosition="0"/>
    </format>
    <format dxfId="90">
      <pivotArea dataOnly="0" labelOnly="1" outline="0" axis="axisValues" fieldPosition="0"/>
    </format>
  </format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Artisan de confiance.xlsm!tblCATravaux">
        <x15:activeTabTopLevelEntity name="[tblCATravaux]"/>
        <x15:activeTabTopLevelEntity name="[tblDashboardC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110A79-2250-42F3-8462-46F7955BAAFB}" name="Tableau croisé dynamique7" cacheId="764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Y5:Z11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Part CA" fld="1" baseField="0" baseItem="0"/>
  </dataFields>
  <formats count="6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dataOnly="0" labelOnly="1" outline="0" axis="axisValues" fieldPosition="0"/>
    </format>
  </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Artisan de confiance.xlsm!tblDashboardCA">
        <x15:activeTabTopLevelEntity name="[tblDashboardC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8D68B-28CB-449C-890A-A282254098D5}" name="Tableau croisé dynamique6" cacheId="761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W5:X10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Évolution" fld="1" baseField="0" baseItem="0"/>
  </dataFields>
  <formats count="2">
    <format dxfId="83">
      <pivotArea type="all" dataOnly="0" outline="0" fieldPosition="0"/>
    </format>
    <format dxfId="82">
      <pivotArea field="0" type="button" dataOnly="0" labelOnly="1" outline="0" axis="axisRow" fieldPosition="0"/>
    </format>
  </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Artisan de confiance.xlsm!tblDashboardCA">
        <x15:activeTabTopLevelEntity name="[tblDashboardC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8187C-ACB8-480C-B1D2-518392AE09A1}" name="Tableau croisé dynamique5" cacheId="758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10">
  <location ref="U5:V11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CA" fld="0" baseField="0" baseItem="0" numFmtId="44"/>
  </dataFields>
  <formats count="8">
    <format dxfId="125">
      <pivotArea outline="0" collapsedLevelsAreSubtotals="1" fieldPosition="0"/>
    </format>
    <format dxfId="124">
      <pivotArea dataOnly="0" labelOnly="1" outline="0" axis="axisValues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1" type="button" dataOnly="0" labelOnly="1" outline="0" axis="axisRow" fieldPosition="0"/>
    </format>
    <format dxfId="78">
      <pivotArea dataOnly="0" labelOnly="1" fieldPosition="0">
        <references count="1">
          <reference field="1" count="0"/>
        </references>
      </pivotArea>
    </format>
    <format dxfId="77">
      <pivotArea dataOnly="0" labelOnly="1" grandRow="1" outline="0" fieldPosition="0"/>
    </format>
    <format dxfId="76">
      <pivotArea dataOnly="0" labelOnly="1" outline="0" axis="axisValues" fieldPosition="0"/>
    </format>
  </formats>
  <chartFormats count="2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Artisan de confiance.xlsm!tblDashboardCA">
        <x15:activeTabTopLevelEntity name="[tblDashboardC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nnée_date___année" xr10:uid="{26CBDC18-CC86-4E38-ACB8-53C1038F9D20}" sourceName="[tblDashboardCA].[Année(date) (année)]">
  <pivotTables>
    <pivotTable tabId="11" name="Tableau croisé dynamique5"/>
    <pivotTable tabId="11" name="Tableau croisé dynamique6"/>
    <pivotTable tabId="11" name="Tableau croisé dynamique7"/>
    <pivotTable tabId="11" name="Tableau croisé dynamique8"/>
  </pivotTables>
  <data>
    <olap pivotCacheId="594031792">
      <levels count="2">
        <level uniqueName="[tblDashboardCA].[Année(date) (année)].[(All)]" sourceCaption="(All)" count="0"/>
        <level uniqueName="[tblDashboardCA].[Année(date) (année)].[Année(date) (année)]" sourceCaption="Année(date) (année)" count="5">
          <ranges>
            <range startItem="0">
              <i n="[tblDashboardCA].[Année(date) (année)].&amp;[2022]" c="2022"/>
              <i n="[tblDashboardCA].[Année(date) (année)].&amp;[2023]" c="2023"/>
              <i n="[tblDashboardCA].[Année(date) (année)].&amp;[2024]" c="2024"/>
              <i n="[tblDashboardCA].[Année(date) (année)].&amp;[2025]" c="2025"/>
              <i n="[tblDashboardCA].[Année(date) (année)].&amp;[2026]" c="2026"/>
            </range>
          </ranges>
        </level>
      </levels>
      <selections count="1">
        <selection n="[tblDashboardCA].[Année(date) (année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née(date) (année)" xr10:uid="{43149513-E918-4D05-AEBF-678FA3C7CF7E}" cache="Segment_Année_date___année" caption="Année(date) (année)" columnCount="5" showCaption="0" level="1" style="SlicerStyleDark5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921EC4-B879-43B8-9C13-F4A8320F867A}" name="tblArtisans" displayName="tblArtisans" ref="E1:J2" insertRow="1" totalsRowShown="0" headerRowDxfId="69" dataDxfId="68">
  <autoFilter ref="E1:J2" xr:uid="{CA921EC4-B879-43B8-9C13-F4A8320F867A}"/>
  <tableColumns count="6">
    <tableColumn id="1" xr3:uid="{F45033CD-D883-45BE-969F-5F1CAB05BFCF}" name="ID" dataDxfId="75"/>
    <tableColumn id="2" xr3:uid="{B8A004B5-D885-456C-A90B-E88F8CE1D45C}" name="NOM" dataDxfId="74"/>
    <tableColumn id="3" xr3:uid="{0AA6C694-59AA-4390-878B-08F668C15973}" name="SPECIALITE" dataDxfId="73"/>
    <tableColumn id="4" xr3:uid="{26B8A3EC-14BA-4146-A57F-153D2DC1FAFF}" name="PAYS" dataDxfId="72"/>
    <tableColumn id="5" xr3:uid="{28633382-2D85-4A11-981D-3D69C1513F7A}" name="REGION" dataDxfId="71"/>
    <tableColumn id="6" xr3:uid="{D8CBF344-DB99-40E8-8E29-B90D8F60BC77}" name="TELEPHONE" dataDxfId="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C4ABA5-6C6D-4068-A0E1-CB9DE1347680}" name="tblFicheArtisan" displayName="tblFicheArtisan" ref="V1:AB2" insertRow="1" totalsRowShown="0" headerRowDxfId="51" dataDxfId="50">
  <autoFilter ref="V1:AB2" xr:uid="{61C4ABA5-6C6D-4068-A0E1-CB9DE1347680}"/>
  <tableColumns count="7">
    <tableColumn id="1" xr3:uid="{EA7BEDC5-E67F-4A6B-BA88-202F7FBB281D}" name="Artisan" dataDxfId="58"/>
    <tableColumn id="2" xr3:uid="{2C734DB3-0977-463C-B463-2EE313E89D82}" name="Pays" dataDxfId="57"/>
    <tableColumn id="3" xr3:uid="{67976274-6DE9-47D8-956C-C3C0B9B99128}" name="Région" dataDxfId="56"/>
    <tableColumn id="4" xr3:uid="{59E2441C-24B6-4B0E-92BC-0B238D62E712}" name="TELEPHONE" dataDxfId="55"/>
    <tableColumn id="5" xr3:uid="{82BC28D4-136A-480D-8C63-842125640E80}" name="PRODUIT" dataDxfId="54"/>
    <tableColumn id="6" xr3:uid="{F367DA3F-85F7-4225-AA23-44427E61C2ED}" name="FOURNISSEUR" dataDxfId="53"/>
    <tableColumn id="7" xr3:uid="{3B0EF430-706F-4009-8750-0953E96267BD}" name="STOCK" dataDxfId="5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357587-ACEA-4736-BBB2-89E310A3013C}" name="tblDisponibilite" displayName="tblDisponibilite" ref="M1:N2" insertRow="1" totalsRowShown="0" headerRowDxfId="65" dataDxfId="64">
  <autoFilter ref="M1:N2" xr:uid="{7B357587-ACEA-4736-BBB2-89E310A3013C}"/>
  <tableColumns count="2">
    <tableColumn id="1" xr3:uid="{2C3769CE-780E-4E2F-A13D-A538D20FFF86}" name="Artisan" dataDxfId="67"/>
    <tableColumn id="2" xr3:uid="{1CAA0A29-D5A7-4009-B3F1-433401F7940D}" name="Statut" dataDxfId="66"/>
  </tableColumns>
  <tableStyleInfo name="TableStyleMedium2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87B862F-549D-473C-834F-F91D4BA8BE5D}" name="tblPrixMoyen" displayName="tblPrixMoyen" ref="Q1:S2" insertRow="1" totalsRowShown="0" headerRowDxfId="59" dataDxfId="60">
  <autoFilter ref="Q1:S2" xr:uid="{087B862F-549D-473C-834F-F91D4BA8BE5D}"/>
  <tableColumns count="3">
    <tableColumn id="1" xr3:uid="{146D945F-12A7-4DB2-91FA-F1C9F5694CCE}" name="Type de travaux" dataDxfId="63"/>
    <tableColumn id="2" xr3:uid="{43F489B1-81F2-40DF-9337-B2CD4C3BBC59}" name="Région" dataDxfId="62"/>
    <tableColumn id="3" xr3:uid="{8404C95E-7CB8-49AB-82A3-570F262FA292}" name="Prix moyen" dataDxfId="61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FF356F-903F-47B1-B85B-67139317998E}" name="tblFournisseurs" displayName="tblFournisseurs" ref="I1:M2" insertRow="1" totalsRowShown="0" headerRowDxfId="11" dataDxfId="10">
  <autoFilter ref="I1:M2" xr:uid="{ACFF356F-903F-47B1-B85B-67139317998E}"/>
  <tableColumns count="5">
    <tableColumn id="1" xr3:uid="{63AC7C9B-B1B4-4C09-9E41-4B80970153FA}" name="ID" dataDxfId="16"/>
    <tableColumn id="2" xr3:uid="{148FFE26-05D0-4302-892B-ED5EC167AB28}" name="Nom" dataDxfId="15"/>
    <tableColumn id="3" xr3:uid="{5F62DDCB-56D0-45F5-9D23-A9D1DF27422E}" name="Prenom" dataDxfId="14"/>
    <tableColumn id="4" xr3:uid="{06ACA377-7B41-4FAD-BF8F-1E7ED40F9CBB}" name="Téléphone" dataDxfId="13"/>
    <tableColumn id="5" xr3:uid="{D84D8FDA-9C0F-458D-B227-6961B4B7FD0B}" name="Email" dataDxfId="12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668551-5AB0-4340-ADB7-AB85992034BC}" name="tblHistoriqueFournisseur" displayName="tblHistoriqueFournisseur" ref="P1:W2" insertRow="1" totalsRowShown="0" headerRowDxfId="1" dataDxfId="0">
  <autoFilter ref="P1:W2" xr:uid="{9F668551-5AB0-4340-ADB7-AB85992034BC}"/>
  <tableColumns count="8">
    <tableColumn id="1" xr3:uid="{C297D136-F453-4472-83B9-1821F2B9B3E2}" name="Nom " dataDxfId="9"/>
    <tableColumn id="2" xr3:uid="{FCC1A6C4-FCD6-457C-A328-CBDDC20C49BA}" name="Prenom" dataDxfId="8"/>
    <tableColumn id="3" xr3:uid="{695327AE-C7AD-4C8C-B147-CBE7BD13D3E0}" name="Téléphone" dataDxfId="7"/>
    <tableColumn id="4" xr3:uid="{EAAF2F62-1EBB-42DB-BDAD-A15D749BF701}" name="Email" dataDxfId="6"/>
    <tableColumn id="5" xr3:uid="{38CDDD94-2255-4469-B00D-985F0D100676}" name="Artisan" dataDxfId="5"/>
    <tableColumn id="6" xr3:uid="{AFC1A4CC-2C73-48DC-9178-F0856CD609CC}" name="Produit" dataDxfId="4"/>
    <tableColumn id="7" xr3:uid="{38C2C146-580D-4EAC-8A16-0AA5D5AB5FDD}" name="Quantité" dataDxfId="3"/>
    <tableColumn id="8" xr3:uid="{43B6C29B-6340-4F62-B063-46F4C4C9721F}" name="Date" dataDxfId="2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0A380C9-6227-4977-8124-AD2214430C55}" name="tblClients" displayName="tblClients" ref="E1:H2" insertRow="1" totalsRowShown="0" headerRowDxfId="45" dataDxfId="44">
  <autoFilter ref="E1:H2" xr:uid="{50A380C9-6227-4977-8124-AD2214430C55}"/>
  <tableColumns count="4">
    <tableColumn id="1" xr3:uid="{2DB51114-C093-44E4-B8B1-01C05CF6A65F}" name="Nom" dataDxfId="49"/>
    <tableColumn id="2" xr3:uid="{C91DE371-D50A-4ABA-A257-79B2B35493D6}" name="Prenom" dataDxfId="48"/>
    <tableColumn id="3" xr3:uid="{75119974-C652-487F-9723-C16A63970D0C}" name="Téléphone" dataDxfId="47"/>
    <tableColumn id="4" xr3:uid="{5A92BA34-A8FA-4495-8F5A-B03BD44B54C0}" name="Email" dataDxfId="46"/>
  </tableColumns>
  <tableStyleInfo name="TableStyleDark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C7F248-A755-4BBA-A405-A85E438C47CA}" name="tblHistoriqueClient" displayName="tblHistoriqueClient" ref="K1:S2" insertRow="1" totalsRowShown="0" headerRowDxfId="34" dataDxfId="33">
  <autoFilter ref="K1:S2" xr:uid="{B9C7F248-A755-4BBA-A405-A85E438C47CA}"/>
  <tableColumns count="9">
    <tableColumn id="1" xr3:uid="{6829FE4C-4AD0-4110-84C0-AEC4DF93392C}" name="Numéro commande" dataDxfId="43"/>
    <tableColumn id="2" xr3:uid="{CA03FA79-BC37-49BC-AF4B-B06CFA8B21FB}" name="Nom" dataDxfId="42"/>
    <tableColumn id="3" xr3:uid="{52598CB3-D0A2-4C01-A6CD-4B3FFBF2BD71}" name="Prénom" dataDxfId="41"/>
    <tableColumn id="4" xr3:uid="{D707EF2B-7FC9-46DE-AB71-920F5771900E}" name="Téléphone" dataDxfId="40"/>
    <tableColumn id="5" xr3:uid="{514E41C9-896D-4DC6-97A8-46B4257A6B3F}" name="Email" dataDxfId="39"/>
    <tableColumn id="6" xr3:uid="{21E5145E-A3C4-4346-B311-35A4BF184DA1}" name="Date commande" dataDxfId="38"/>
    <tableColumn id="7" xr3:uid="{AA6E47C9-9CA1-4022-8636-220BD8D44F83}" name="Numéro facture" dataDxfId="37"/>
    <tableColumn id="8" xr3:uid="{8DFAA9F7-8A78-4830-9159-8188334C3F8B}" name="Montant total" dataDxfId="36"/>
    <tableColumn id="9" xr3:uid="{5452E757-318E-4091-92D4-6D25B7164DEA}" name="Mode paiement" dataDxfId="35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AF1354D-A440-4040-A854-25D3290EAE6F}" name="tblListeCommande" displayName="tblListeCommande" ref="E1:H2" insertRow="1" totalsRowShown="0" headerRowDxfId="28" dataDxfId="27">
  <autoFilter ref="E1:H2" xr:uid="{7AF1354D-A440-4040-A854-25D3290EAE6F}"/>
  <tableColumns count="4">
    <tableColumn id="1" xr3:uid="{7AF59164-00E8-4D35-8431-80F7197EFCD2}" name="N° commande" dataDxfId="32"/>
    <tableColumn id="2" xr3:uid="{2097B8C2-CCB4-436B-9FBA-8C6358F467D0}" name="Statut" dataDxfId="31"/>
    <tableColumn id="3" xr3:uid="{6030E17D-428A-4396-92EE-11752909B861}" name="Nom client" dataDxfId="30"/>
    <tableColumn id="4" xr3:uid="{B4D926CD-164C-40CE-9970-C332EA1DEDF9}" name="Prénom client" dataDxfId="29"/>
  </tableColumns>
  <tableStyleInfo name="TableStyleDark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109094-3629-4C16-9360-98AEA282BD61}" name="tblReductionCommande" displayName="tblReductionCommande" ref="K1:M2" insertRow="1" totalsRowShown="0" headerRowDxfId="23" dataDxfId="22">
  <autoFilter ref="K1:M2" xr:uid="{9A109094-3629-4C16-9360-98AEA282BD61}"/>
  <tableColumns count="3">
    <tableColumn id="1" xr3:uid="{FB072558-299D-44D4-8499-4FD6B18CD9B3}" name="N° commande" dataDxfId="26"/>
    <tableColumn id="2" xr3:uid="{3D2E65E4-C790-4119-98FE-13FAF61402AF}" name="Nom client" dataDxfId="25"/>
    <tableColumn id="3" xr3:uid="{9C4624B3-2D16-409D-BEC3-4953370885B8}" name="Prénom client" dataDxfId="24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DA66A8-8ECD-4C2D-9474-BCB173018D5F}" name="tblBilanStock" displayName="tblBilanStock" ref="E1:G31" totalsRowShown="0" headerRowDxfId="18" dataDxfId="17">
  <autoFilter ref="E1:G31" xr:uid="{FEDA66A8-8ECD-4C2D-9474-BCB173018D5F}"/>
  <tableColumns count="3">
    <tableColumn id="1" xr3:uid="{5D9247E2-60B5-41F4-B0A0-BDE1D7ED0D4F}" name="Artisan " dataDxfId="21"/>
    <tableColumn id="2" xr3:uid="{8B5E29E7-DBEF-4F19-A7A5-3AFB83EBA3C5}" name="Produit" dataDxfId="20"/>
    <tableColumn id="3" xr3:uid="{24BDC832-DF69-4F19-90DA-6566739E0133}" name="Etat de stock" dataDxfId="19"/>
  </tableColumns>
  <tableStyleInfo name="TableStyleDark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84A475-DCDD-4C9E-83D8-863BC6EE2C10}" name="tblDashboardCA" displayName="tblDashboardCA" ref="D5:J10" totalsRowShown="0" headerRowDxfId="115" dataDxfId="114">
  <autoFilter ref="D5:J10" xr:uid="{D684A475-DCDD-4C9E-83D8-863BC6EE2C10}"/>
  <tableColumns count="7">
    <tableColumn id="1" xr3:uid="{B48357FC-7826-4485-A46A-EAB3D804A57F}" name="Année" dataDxfId="122"/>
    <tableColumn id="7" xr3:uid="{8C9BF5B6-AEEE-41A8-BC4E-7C5D0E7C1CC6}" name="Année(date)" dataDxfId="121">
      <calculatedColumnFormula>DATE(tblDashboardCA[[#This Row],[Année]],1,1)</calculatedColumnFormula>
    </tableColumn>
    <tableColumn id="2" xr3:uid="{0D8D41C6-0B96-4064-83B1-837175B0CDA7}" name="CA" dataDxfId="120"/>
    <tableColumn id="3" xr3:uid="{FECDE973-EBDC-4497-A3BE-50B47AAD5847}" name="CA N-1" dataDxfId="119"/>
    <tableColumn id="4" xr3:uid="{3A3F312B-2842-4B49-AA47-5B8DD00F6611}" name="Évolution" dataDxfId="118"/>
    <tableColumn id="5" xr3:uid="{BA431403-C37C-4E58-9B48-6FF11D4D4EAF}" name="CA urgent" dataDxfId="117"/>
    <tableColumn id="6" xr3:uid="{F3A054C6-F17C-443F-946D-69ED04195BCA}" name="Part CA" dataDxfId="116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009B302-B70A-4E2D-A429-369838B95261}" name="tblCATravaux" displayName="tblCATravaux" ref="K5:N17" totalsRowShown="0" headerRowDxfId="109" dataDxfId="108">
  <autoFilter ref="K5:N17" xr:uid="{4009B302-B70A-4E2D-A429-369838B95261}"/>
  <tableColumns count="4">
    <tableColumn id="1" xr3:uid="{2DF96664-6E63-43E5-87E1-89056B212EBA}" name="Année" dataDxfId="113"/>
    <tableColumn id="4" xr3:uid="{99FA9035-9C1C-4AE6-8344-64B33C3898DE}" name="Année(date)" dataDxfId="112">
      <calculatedColumnFormula>DATE(tblCATravaux[[#This Row],[Année]],1,1)</calculatedColumnFormula>
    </tableColumn>
    <tableColumn id="2" xr3:uid="{ECDF4613-FEA5-4452-B4F2-84E2DA721054}" name="Type de travaux" dataDxfId="111"/>
    <tableColumn id="3" xr3:uid="{B6159F35-31E6-4146-922A-753A1E0030A1}" name="CA type travaux" dataDxfId="110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9F7603E-C66E-4A3C-87EB-0189C23B6046}" name="tblTravauxRegion" displayName="tblTravauxRegion" ref="O5:P6" totalsRowShown="0" headerRowDxfId="105" dataDxfId="104">
  <autoFilter ref="O5:P6" xr:uid="{29F7603E-C66E-4A3C-87EB-0189C23B6046}"/>
  <tableColumns count="2">
    <tableColumn id="1" xr3:uid="{1F2AE0E0-CCB9-4350-BF2D-76F5D1166EC2}" name="Région" dataDxfId="107"/>
    <tableColumn id="2" xr3:uid="{988E7127-7BDB-4F51-9333-A0FF637EC2CC}" name="Travaux terminés" dataDxfId="106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8396CC9-C5C3-4AEA-909E-D1BAAAEB4410}" name="tblSatisfaction" displayName="tblSatisfaction" ref="Q5:R7" totalsRowShown="0" headerRowDxfId="101" dataDxfId="100">
  <autoFilter ref="Q5:R7" xr:uid="{68396CC9-C5C3-4AEA-909E-D1BAAAEB4410}"/>
  <tableColumns count="2">
    <tableColumn id="1" xr3:uid="{5FB66A27-B0B8-4AF2-A1DC-EA942954FCF1}" name="Satisfaction" dataDxfId="103"/>
    <tableColumn id="2" xr3:uid="{F2765491-05E9-48A6-B5BE-E9C22242F9AA}" name="Pourcentage" dataDxfId="102"/>
  </tableColumns>
  <tableStyleInfo name="TableStyleMedium2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7AA8C2C-3AAB-4099-ACFF-BA184EAD9152}" name="tblCausesRetard" displayName="tblCausesRetard" ref="S5:T9" totalsRowShown="0" headerRowDxfId="97" dataDxfId="96">
  <autoFilter ref="S5:T9" xr:uid="{37AA8C2C-3AAB-4099-ACFF-BA184EAD9152}"/>
  <tableColumns count="2">
    <tableColumn id="1" xr3:uid="{72C59AB3-597F-4619-ABBC-E7EAFCA9298F}" name="Cause de retard" dataDxfId="99"/>
    <tableColumn id="2" xr3:uid="{970315B7-4A6C-4A86-B20D-615989366C19}" name="Pourcentage" dataDxfId="98" dataCellStyle="Pourcentag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CCEAA-75AF-4C97-A81C-90AE8AF345F4}">
  <sheetPr codeName="Feuil1"/>
  <dimension ref="A1:R27"/>
  <sheetViews>
    <sheetView tabSelected="1" workbookViewId="0"/>
  </sheetViews>
  <sheetFormatPr baseColWidth="10" defaultColWidth="0" defaultRowHeight="14.4" zeroHeight="1" x14ac:dyDescent="0.3"/>
  <cols>
    <col min="1" max="3" width="11.5546875" style="58" customWidth="1"/>
    <col min="4" max="16" width="11.5546875" style="3" customWidth="1"/>
    <col min="17" max="18" width="11.5546875" style="59" customWidth="1"/>
    <col min="19" max="16384" width="11.5546875" hidden="1"/>
  </cols>
  <sheetData>
    <row r="1" spans="3:18" s="58" customFormat="1" x14ac:dyDescent="0.3"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59"/>
      <c r="R1" s="59"/>
    </row>
    <row r="2" spans="3:18" x14ac:dyDescent="0.3">
      <c r="C2" s="60"/>
      <c r="Q2" s="62"/>
    </row>
    <row r="3" spans="3:18" x14ac:dyDescent="0.3">
      <c r="C3" s="60"/>
      <c r="Q3" s="62"/>
    </row>
    <row r="4" spans="3:18" x14ac:dyDescent="0.3">
      <c r="C4" s="60"/>
      <c r="Q4" s="62"/>
    </row>
    <row r="5" spans="3:18" x14ac:dyDescent="0.3">
      <c r="C5" s="60"/>
      <c r="Q5" s="62"/>
    </row>
    <row r="6" spans="3:18" x14ac:dyDescent="0.3">
      <c r="C6" s="60"/>
      <c r="Q6" s="62"/>
    </row>
    <row r="7" spans="3:18" x14ac:dyDescent="0.3">
      <c r="C7" s="60"/>
      <c r="Q7" s="62"/>
    </row>
    <row r="8" spans="3:18" x14ac:dyDescent="0.3">
      <c r="C8" s="60"/>
      <c r="Q8" s="62"/>
    </row>
    <row r="9" spans="3:18" x14ac:dyDescent="0.3">
      <c r="C9" s="60"/>
      <c r="Q9" s="62"/>
    </row>
    <row r="10" spans="3:18" x14ac:dyDescent="0.3">
      <c r="C10" s="60"/>
      <c r="Q10" s="62"/>
    </row>
    <row r="11" spans="3:18" x14ac:dyDescent="0.3">
      <c r="C11" s="60"/>
      <c r="Q11" s="62"/>
    </row>
    <row r="12" spans="3:18" x14ac:dyDescent="0.3">
      <c r="C12" s="60"/>
      <c r="Q12" s="62"/>
    </row>
    <row r="13" spans="3:18" x14ac:dyDescent="0.3">
      <c r="C13" s="60"/>
      <c r="Q13" s="62"/>
    </row>
    <row r="14" spans="3:18" x14ac:dyDescent="0.3">
      <c r="C14" s="60"/>
      <c r="Q14" s="62"/>
    </row>
    <row r="15" spans="3:18" x14ac:dyDescent="0.3">
      <c r="C15" s="60"/>
      <c r="Q15" s="62"/>
    </row>
    <row r="16" spans="3:18" x14ac:dyDescent="0.3">
      <c r="C16" s="60"/>
      <c r="Q16" s="62"/>
    </row>
    <row r="17" spans="3:17" x14ac:dyDescent="0.3">
      <c r="C17" s="60"/>
      <c r="Q17" s="62"/>
    </row>
    <row r="18" spans="3:17" x14ac:dyDescent="0.3">
      <c r="C18" s="60"/>
      <c r="Q18" s="62"/>
    </row>
    <row r="19" spans="3:17" x14ac:dyDescent="0.3">
      <c r="C19" s="60"/>
      <c r="Q19" s="62"/>
    </row>
    <row r="20" spans="3:17" x14ac:dyDescent="0.3">
      <c r="C20" s="60"/>
      <c r="Q20" s="62"/>
    </row>
    <row r="21" spans="3:17" x14ac:dyDescent="0.3">
      <c r="C21" s="60"/>
      <c r="Q21" s="62"/>
    </row>
    <row r="22" spans="3:17" x14ac:dyDescent="0.3">
      <c r="C22" s="60"/>
      <c r="Q22" s="62"/>
    </row>
    <row r="23" spans="3:17" x14ac:dyDescent="0.3">
      <c r="C23" s="60"/>
      <c r="Q23" s="62"/>
    </row>
    <row r="24" spans="3:17" x14ac:dyDescent="0.3">
      <c r="C24" s="60"/>
      <c r="Q24" s="62"/>
    </row>
    <row r="25" spans="3:17" x14ac:dyDescent="0.3">
      <c r="C25" s="60"/>
      <c r="Q25" s="62"/>
    </row>
    <row r="26" spans="3:17" x14ac:dyDescent="0.3">
      <c r="C26" s="60"/>
      <c r="Q26" s="62"/>
    </row>
    <row r="27" spans="3:17" x14ac:dyDescent="0.3">
      <c r="C27" s="60"/>
      <c r="Q27" s="6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ABA7-196B-4354-B9AB-0797E38F4130}">
  <sheetPr codeName="Feuil4"/>
  <dimension ref="E1:AD2"/>
  <sheetViews>
    <sheetView zoomScaleNormal="100" workbookViewId="0"/>
  </sheetViews>
  <sheetFormatPr baseColWidth="10" defaultColWidth="0" defaultRowHeight="14.4" x14ac:dyDescent="0.3"/>
  <cols>
    <col min="1" max="3" width="10.77734375" customWidth="1"/>
    <col min="4" max="4" width="11.5546875" customWidth="1"/>
    <col min="5" max="5" width="25.77734375" style="36" bestFit="1" customWidth="1"/>
    <col min="6" max="6" width="12.77734375" style="36" customWidth="1"/>
    <col min="7" max="7" width="16.33203125" style="36" bestFit="1" customWidth="1"/>
    <col min="8" max="8" width="12.77734375" style="36" customWidth="1"/>
    <col min="9" max="9" width="12.6640625" style="36" bestFit="1" customWidth="1"/>
    <col min="10" max="10" width="14.6640625" style="36" customWidth="1"/>
    <col min="11" max="12" width="11.5546875" style="35" customWidth="1"/>
    <col min="13" max="13" width="11.5546875" style="39" customWidth="1"/>
    <col min="14" max="14" width="15" style="39" customWidth="1"/>
    <col min="15" max="16" width="11.5546875" style="35" customWidth="1"/>
    <col min="17" max="19" width="11.5546875" style="40" customWidth="1"/>
    <col min="20" max="21" width="11.5546875" style="35" customWidth="1"/>
    <col min="22" max="28" width="11.5546875" style="42" customWidth="1"/>
    <col min="29" max="30" width="11.5546875" style="35" customWidth="1"/>
    <col min="31" max="16384" width="11.5546875" hidden="1"/>
  </cols>
  <sheetData>
    <row r="1" spans="5:28" x14ac:dyDescent="0.3">
      <c r="E1" s="36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2" t="s">
        <v>5</v>
      </c>
      <c r="M1" s="39" t="s">
        <v>6</v>
      </c>
      <c r="N1" s="39" t="s">
        <v>12</v>
      </c>
      <c r="Q1" s="41" t="s">
        <v>23</v>
      </c>
      <c r="R1" s="41" t="s">
        <v>8</v>
      </c>
      <c r="S1" s="41" t="s">
        <v>24</v>
      </c>
      <c r="V1" s="42" t="s">
        <v>6</v>
      </c>
      <c r="W1" s="42" t="s">
        <v>7</v>
      </c>
      <c r="X1" s="42" t="s">
        <v>8</v>
      </c>
      <c r="Y1" s="42" t="s">
        <v>5</v>
      </c>
      <c r="Z1" s="42" t="s">
        <v>9</v>
      </c>
      <c r="AA1" s="42" t="s">
        <v>10</v>
      </c>
      <c r="AB1" s="42" t="s">
        <v>11</v>
      </c>
    </row>
    <row r="2" spans="5:28" x14ac:dyDescent="0.3">
      <c r="F2" s="37"/>
      <c r="G2" s="37"/>
      <c r="H2" s="37"/>
      <c r="I2" s="37"/>
      <c r="J2" s="38"/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48A93-2B4F-4D5D-BC76-9A5BD6F3DA9F}">
  <sheetPr codeName="Feuil2"/>
  <dimension ref="I1:Y2"/>
  <sheetViews>
    <sheetView topLeftCell="D1" workbookViewId="0"/>
  </sheetViews>
  <sheetFormatPr baseColWidth="10" defaultColWidth="0" defaultRowHeight="14.4" x14ac:dyDescent="0.3"/>
  <cols>
    <col min="1" max="3" width="11.5546875" hidden="1"/>
    <col min="4" max="6" width="10.77734375" customWidth="1"/>
    <col min="7" max="7" width="13.44140625" customWidth="1"/>
    <col min="8" max="8" width="11.5546875" customWidth="1"/>
    <col min="9" max="9" width="11.5546875" style="55" customWidth="1"/>
    <col min="10" max="10" width="22.109375" style="55" bestFit="1" customWidth="1"/>
    <col min="11" max="12" width="11.5546875" style="55" customWidth="1"/>
    <col min="13" max="13" width="22.109375" style="55" bestFit="1" customWidth="1"/>
    <col min="14" max="15" width="12.6640625" style="35" customWidth="1"/>
    <col min="16" max="16" width="16.109375" style="56" bestFit="1" customWidth="1"/>
    <col min="17" max="17" width="11.5546875" style="56" customWidth="1"/>
    <col min="18" max="18" width="24.77734375" style="56" customWidth="1"/>
    <col min="19" max="19" width="22.109375" style="56" bestFit="1" customWidth="1"/>
    <col min="20" max="20" width="11.5546875" style="56" customWidth="1"/>
    <col min="21" max="21" width="14.5546875" style="56" bestFit="1" customWidth="1"/>
    <col min="22" max="23" width="11.5546875" style="56" customWidth="1"/>
    <col min="24" max="24" width="11.5546875" style="35" customWidth="1"/>
    <col min="25" max="25" width="16.33203125" style="35" customWidth="1"/>
    <col min="26" max="16384" width="11.5546875" hidden="1"/>
  </cols>
  <sheetData>
    <row r="1" spans="9:23" x14ac:dyDescent="0.3">
      <c r="I1" s="55" t="s">
        <v>0</v>
      </c>
      <c r="J1" s="55" t="s">
        <v>13</v>
      </c>
      <c r="K1" s="55" t="s">
        <v>14</v>
      </c>
      <c r="L1" s="55" t="s">
        <v>15</v>
      </c>
      <c r="M1" s="55" t="s">
        <v>16</v>
      </c>
      <c r="P1" s="56" t="s">
        <v>18</v>
      </c>
      <c r="Q1" s="56" t="s">
        <v>14</v>
      </c>
      <c r="R1" s="56" t="s">
        <v>15</v>
      </c>
      <c r="S1" s="56" t="s">
        <v>16</v>
      </c>
      <c r="T1" s="56" t="s">
        <v>6</v>
      </c>
      <c r="U1" s="56" t="s">
        <v>17</v>
      </c>
      <c r="V1" s="56" t="s">
        <v>19</v>
      </c>
      <c r="W1" s="56" t="s">
        <v>20</v>
      </c>
    </row>
    <row r="2" spans="9:23" x14ac:dyDescent="0.3">
      <c r="W2" s="57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52D86-3240-400A-8DDA-9DBDA8BA32AF}">
  <sheetPr codeName="Feuil5"/>
  <dimension ref="E1:U19"/>
  <sheetViews>
    <sheetView workbookViewId="0">
      <selection activeCell="D13" sqref="D13"/>
    </sheetView>
  </sheetViews>
  <sheetFormatPr baseColWidth="10" defaultColWidth="0" defaultRowHeight="14.4" x14ac:dyDescent="0.3"/>
  <cols>
    <col min="1" max="3" width="10.77734375" customWidth="1"/>
    <col min="4" max="4" width="11.5546875" customWidth="1"/>
    <col min="5" max="7" width="11.5546875" style="44" customWidth="1"/>
    <col min="8" max="8" width="24.33203125" style="44" bestFit="1" customWidth="1"/>
    <col min="9" max="10" width="11.5546875" style="35" customWidth="1"/>
    <col min="11" max="11" width="19.33203125" style="47" customWidth="1"/>
    <col min="12" max="15" width="11.5546875" style="47" customWidth="1"/>
    <col min="16" max="16" width="16.5546875" style="47" customWidth="1"/>
    <col min="17" max="17" width="15.77734375" style="47" customWidth="1"/>
    <col min="18" max="18" width="13.88671875" style="47" customWidth="1"/>
    <col min="19" max="19" width="15.77734375" style="47" customWidth="1"/>
    <col min="20" max="21" width="11.5546875" style="35" customWidth="1"/>
    <col min="22" max="16384" width="11.5546875" hidden="1"/>
  </cols>
  <sheetData>
    <row r="1" spans="5:19" x14ac:dyDescent="0.3">
      <c r="E1" s="44" t="s">
        <v>13</v>
      </c>
      <c r="F1" s="44" t="s">
        <v>14</v>
      </c>
      <c r="G1" s="44" t="s">
        <v>15</v>
      </c>
      <c r="H1" s="44" t="s">
        <v>16</v>
      </c>
      <c r="K1" s="45" t="s">
        <v>25</v>
      </c>
      <c r="L1" s="45" t="s">
        <v>13</v>
      </c>
      <c r="M1" s="45" t="s">
        <v>26</v>
      </c>
      <c r="N1" s="45" t="s">
        <v>15</v>
      </c>
      <c r="O1" s="45" t="s">
        <v>16</v>
      </c>
      <c r="P1" s="45" t="s">
        <v>27</v>
      </c>
      <c r="Q1" s="45" t="s">
        <v>28</v>
      </c>
      <c r="R1" s="45" t="s">
        <v>29</v>
      </c>
      <c r="S1" s="45" t="s">
        <v>30</v>
      </c>
    </row>
    <row r="2" spans="5:19" x14ac:dyDescent="0.3">
      <c r="K2" s="45"/>
      <c r="L2" s="45"/>
      <c r="M2" s="45"/>
      <c r="N2" s="45"/>
      <c r="O2" s="45"/>
      <c r="P2" s="46"/>
      <c r="Q2" s="45"/>
      <c r="R2" s="45"/>
      <c r="S2" s="45"/>
    </row>
    <row r="19" spans="10:10" ht="18" x14ac:dyDescent="0.35">
      <c r="J19" s="4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3CF4-352A-48B9-9310-5D0B4DEC48F5}">
  <sheetPr codeName="Feuil6"/>
  <dimension ref="E1:T2"/>
  <sheetViews>
    <sheetView workbookViewId="0"/>
  </sheetViews>
  <sheetFormatPr baseColWidth="10" defaultColWidth="0" defaultRowHeight="14.4" x14ac:dyDescent="0.3"/>
  <cols>
    <col min="1" max="3" width="10.77734375" customWidth="1"/>
    <col min="4" max="4" width="14.44140625" customWidth="1"/>
    <col min="5" max="7" width="11.5546875" style="49" customWidth="1"/>
    <col min="8" max="8" width="14.77734375" style="49" customWidth="1"/>
    <col min="9" max="9" width="12" style="35" customWidth="1"/>
    <col min="10" max="10" width="14.44140625" style="35" customWidth="1"/>
    <col min="11" max="11" width="11.5546875" style="51" customWidth="1"/>
    <col min="12" max="12" width="14.5546875" style="51" bestFit="1" customWidth="1"/>
    <col min="13" max="13" width="11.88671875" style="51" bestFit="1" customWidth="1"/>
    <col min="14" max="15" width="11.5546875" style="35" customWidth="1"/>
    <col min="16" max="17" width="11.5546875" style="53" customWidth="1"/>
    <col min="18" max="18" width="11.33203125" style="53" customWidth="1"/>
    <col min="19" max="20" width="0" hidden="1" customWidth="1"/>
    <col min="21" max="16384" width="11.5546875" hidden="1"/>
  </cols>
  <sheetData>
    <row r="1" spans="5:13" ht="28.8" x14ac:dyDescent="0.3">
      <c r="E1" s="48" t="s">
        <v>31</v>
      </c>
      <c r="F1" s="48" t="s">
        <v>12</v>
      </c>
      <c r="G1" s="48" t="s">
        <v>32</v>
      </c>
      <c r="H1" s="48" t="s">
        <v>33</v>
      </c>
      <c r="K1" s="50" t="s">
        <v>31</v>
      </c>
      <c r="L1" s="50" t="s">
        <v>32</v>
      </c>
      <c r="M1" s="50" t="s">
        <v>33</v>
      </c>
    </row>
    <row r="2" spans="5:13" x14ac:dyDescent="0.3">
      <c r="E2" s="48"/>
      <c r="F2" s="48"/>
      <c r="G2" s="48"/>
      <c r="H2" s="48"/>
      <c r="K2" s="50"/>
      <c r="L2" s="50"/>
      <c r="M2" s="50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43C4-ADEF-4217-8789-61DC8C5F89A9}">
  <sheetPr codeName="Feuil3"/>
  <dimension ref="E1:I31"/>
  <sheetViews>
    <sheetView workbookViewId="0"/>
  </sheetViews>
  <sheetFormatPr baseColWidth="10" defaultColWidth="0" defaultRowHeight="14.4" x14ac:dyDescent="0.3"/>
  <cols>
    <col min="1" max="3" width="10.77734375" customWidth="1"/>
    <col min="4" max="4" width="11.5546875" customWidth="1"/>
    <col min="5" max="5" width="16.109375" style="52" bestFit="1" customWidth="1"/>
    <col min="6" max="6" width="17.88671875" style="52" bestFit="1" customWidth="1"/>
    <col min="7" max="7" width="15.33203125" style="52" bestFit="1" customWidth="1"/>
    <col min="8" max="9" width="11.5546875" style="35" customWidth="1"/>
    <col min="10" max="16384" width="11.5546875" hidden="1"/>
  </cols>
  <sheetData>
    <row r="1" spans="5:7" x14ac:dyDescent="0.3">
      <c r="E1" s="52" t="s">
        <v>21</v>
      </c>
      <c r="F1" s="52" t="s">
        <v>17</v>
      </c>
      <c r="G1" s="52" t="s">
        <v>22</v>
      </c>
    </row>
    <row r="2" spans="5:7" x14ac:dyDescent="0.3">
      <c r="E2" s="52" t="s">
        <v>34</v>
      </c>
      <c r="F2" s="52" t="s">
        <v>35</v>
      </c>
      <c r="G2" s="52" t="s">
        <v>36</v>
      </c>
    </row>
    <row r="3" spans="5:7" x14ac:dyDescent="0.3">
      <c r="E3" s="52" t="s">
        <v>37</v>
      </c>
      <c r="F3" s="52" t="s">
        <v>35</v>
      </c>
      <c r="G3" s="52" t="s">
        <v>38</v>
      </c>
    </row>
    <row r="4" spans="5:7" x14ac:dyDescent="0.3">
      <c r="E4" s="52" t="s">
        <v>39</v>
      </c>
      <c r="F4" s="52" t="s">
        <v>35</v>
      </c>
      <c r="G4" s="52" t="s">
        <v>38</v>
      </c>
    </row>
    <row r="5" spans="5:7" x14ac:dyDescent="0.3">
      <c r="E5" s="52" t="s">
        <v>40</v>
      </c>
      <c r="F5" s="52" t="s">
        <v>35</v>
      </c>
      <c r="G5" s="52" t="s">
        <v>38</v>
      </c>
    </row>
    <row r="6" spans="5:7" x14ac:dyDescent="0.3">
      <c r="E6" s="52" t="s">
        <v>41</v>
      </c>
      <c r="F6" s="52" t="s">
        <v>35</v>
      </c>
      <c r="G6" s="52" t="s">
        <v>38</v>
      </c>
    </row>
    <row r="7" spans="5:7" x14ac:dyDescent="0.3">
      <c r="E7" s="52" t="s">
        <v>34</v>
      </c>
      <c r="F7" s="52" t="s">
        <v>42</v>
      </c>
      <c r="G7" s="52" t="s">
        <v>36</v>
      </c>
    </row>
    <row r="8" spans="5:7" x14ac:dyDescent="0.3">
      <c r="E8" s="52" t="s">
        <v>43</v>
      </c>
      <c r="F8" s="52" t="s">
        <v>42</v>
      </c>
      <c r="G8" s="52" t="s">
        <v>36</v>
      </c>
    </row>
    <row r="9" spans="5:7" x14ac:dyDescent="0.3">
      <c r="E9" s="52" t="s">
        <v>44</v>
      </c>
      <c r="F9" s="52" t="s">
        <v>42</v>
      </c>
      <c r="G9" s="52" t="s">
        <v>38</v>
      </c>
    </row>
    <row r="10" spans="5:7" x14ac:dyDescent="0.3">
      <c r="E10" s="52" t="s">
        <v>45</v>
      </c>
      <c r="F10" s="52" t="s">
        <v>42</v>
      </c>
      <c r="G10" s="52" t="s">
        <v>36</v>
      </c>
    </row>
    <row r="11" spans="5:7" x14ac:dyDescent="0.3">
      <c r="E11" s="52" t="s">
        <v>46</v>
      </c>
      <c r="F11" s="52" t="s">
        <v>47</v>
      </c>
      <c r="G11" s="52" t="s">
        <v>38</v>
      </c>
    </row>
    <row r="12" spans="5:7" x14ac:dyDescent="0.3">
      <c r="E12" s="52" t="s">
        <v>48</v>
      </c>
      <c r="F12" s="52" t="s">
        <v>47</v>
      </c>
      <c r="G12" s="52" t="s">
        <v>36</v>
      </c>
    </row>
    <row r="13" spans="5:7" x14ac:dyDescent="0.3">
      <c r="E13" s="52" t="s">
        <v>49</v>
      </c>
      <c r="F13" s="52" t="s">
        <v>47</v>
      </c>
      <c r="G13" s="52" t="s">
        <v>36</v>
      </c>
    </row>
    <row r="14" spans="5:7" x14ac:dyDescent="0.3">
      <c r="E14" s="52" t="s">
        <v>50</v>
      </c>
      <c r="F14" s="52" t="s">
        <v>47</v>
      </c>
      <c r="G14" s="52" t="s">
        <v>38</v>
      </c>
    </row>
    <row r="15" spans="5:7" x14ac:dyDescent="0.3">
      <c r="E15" s="52" t="s">
        <v>46</v>
      </c>
      <c r="F15" s="52" t="s">
        <v>51</v>
      </c>
      <c r="G15" s="52" t="s">
        <v>36</v>
      </c>
    </row>
    <row r="16" spans="5:7" x14ac:dyDescent="0.3">
      <c r="E16" s="52" t="s">
        <v>52</v>
      </c>
      <c r="F16" s="52" t="s">
        <v>51</v>
      </c>
      <c r="G16" s="52" t="s">
        <v>36</v>
      </c>
    </row>
    <row r="17" spans="5:7" x14ac:dyDescent="0.3">
      <c r="E17" s="52" t="s">
        <v>53</v>
      </c>
      <c r="F17" s="52" t="s">
        <v>54</v>
      </c>
      <c r="G17" s="52" t="s">
        <v>36</v>
      </c>
    </row>
    <row r="18" spans="5:7" x14ac:dyDescent="0.3">
      <c r="E18" s="52" t="s">
        <v>55</v>
      </c>
      <c r="F18" s="52" t="s">
        <v>54</v>
      </c>
      <c r="G18" s="52" t="s">
        <v>38</v>
      </c>
    </row>
    <row r="19" spans="5:7" x14ac:dyDescent="0.3">
      <c r="E19" s="52" t="s">
        <v>56</v>
      </c>
      <c r="F19" s="52" t="s">
        <v>54</v>
      </c>
      <c r="G19" s="52" t="s">
        <v>36</v>
      </c>
    </row>
    <row r="20" spans="5:7" x14ac:dyDescent="0.3">
      <c r="E20" s="52" t="s">
        <v>57</v>
      </c>
      <c r="F20" s="52" t="s">
        <v>54</v>
      </c>
      <c r="G20" s="52" t="s">
        <v>38</v>
      </c>
    </row>
    <row r="21" spans="5:7" x14ac:dyDescent="0.3">
      <c r="E21" s="52" t="s">
        <v>58</v>
      </c>
      <c r="F21" s="52" t="s">
        <v>54</v>
      </c>
      <c r="G21" s="52" t="s">
        <v>36</v>
      </c>
    </row>
    <row r="22" spans="5:7" x14ac:dyDescent="0.3">
      <c r="E22" s="52" t="s">
        <v>59</v>
      </c>
      <c r="F22" s="52" t="s">
        <v>60</v>
      </c>
      <c r="G22" s="52" t="s">
        <v>36</v>
      </c>
    </row>
    <row r="23" spans="5:7" x14ac:dyDescent="0.3">
      <c r="E23" s="52" t="s">
        <v>61</v>
      </c>
      <c r="F23" s="52" t="s">
        <v>60</v>
      </c>
      <c r="G23" s="52" t="s">
        <v>38</v>
      </c>
    </row>
    <row r="24" spans="5:7" x14ac:dyDescent="0.3">
      <c r="E24" s="52" t="s">
        <v>62</v>
      </c>
      <c r="F24" s="52" t="s">
        <v>63</v>
      </c>
      <c r="G24" s="52" t="s">
        <v>38</v>
      </c>
    </row>
    <row r="25" spans="5:7" x14ac:dyDescent="0.3">
      <c r="E25" s="52" t="s">
        <v>64</v>
      </c>
      <c r="F25" s="52" t="s">
        <v>63</v>
      </c>
      <c r="G25" s="52" t="s">
        <v>36</v>
      </c>
    </row>
    <row r="26" spans="5:7" x14ac:dyDescent="0.3">
      <c r="E26" s="52" t="s">
        <v>65</v>
      </c>
      <c r="F26" s="52" t="s">
        <v>63</v>
      </c>
      <c r="G26" s="52" t="s">
        <v>38</v>
      </c>
    </row>
    <row r="27" spans="5:7" x14ac:dyDescent="0.3">
      <c r="E27" s="52" t="s">
        <v>66</v>
      </c>
      <c r="F27" s="52" t="s">
        <v>67</v>
      </c>
      <c r="G27" s="52" t="s">
        <v>38</v>
      </c>
    </row>
    <row r="28" spans="5:7" x14ac:dyDescent="0.3">
      <c r="E28" s="52" t="s">
        <v>68</v>
      </c>
      <c r="F28" s="52" t="s">
        <v>69</v>
      </c>
      <c r="G28" s="52" t="s">
        <v>36</v>
      </c>
    </row>
    <row r="29" spans="5:7" x14ac:dyDescent="0.3">
      <c r="E29" s="52" t="s">
        <v>70</v>
      </c>
      <c r="F29" s="52" t="s">
        <v>71</v>
      </c>
      <c r="G29" s="52" t="s">
        <v>38</v>
      </c>
    </row>
    <row r="30" spans="5:7" x14ac:dyDescent="0.3">
      <c r="E30" s="52" t="s">
        <v>72</v>
      </c>
      <c r="F30" s="52" t="s">
        <v>71</v>
      </c>
      <c r="G30" s="52" t="s">
        <v>38</v>
      </c>
    </row>
    <row r="31" spans="5:7" x14ac:dyDescent="0.3">
      <c r="E31" s="52" t="s">
        <v>73</v>
      </c>
      <c r="F31" s="52" t="s">
        <v>71</v>
      </c>
      <c r="G31" s="52" t="s">
        <v>36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D373-F69E-49F3-96D6-001496BF9D96}">
  <sheetPr codeName="Feuil7"/>
  <dimension ref="A1:R28"/>
  <sheetViews>
    <sheetView zoomScaleNormal="100" workbookViewId="0"/>
  </sheetViews>
  <sheetFormatPr baseColWidth="10" defaultColWidth="0" defaultRowHeight="14.4" zeroHeight="1" x14ac:dyDescent="0.3"/>
  <cols>
    <col min="1" max="18" width="11.5546875" customWidth="1"/>
    <col min="19" max="16384" width="11.5546875" hidden="1"/>
  </cols>
  <sheetData>
    <row r="1" spans="1:18" s="54" customFormat="1" ht="30" customHeight="1" x14ac:dyDescent="0.7">
      <c r="A1" s="54" t="s">
        <v>74</v>
      </c>
    </row>
    <row r="2" spans="1:18" ht="21" x14ac:dyDescent="0.4">
      <c r="A2" s="5" t="s">
        <v>75</v>
      </c>
      <c r="B2" s="4"/>
      <c r="C2" s="4"/>
      <c r="D2" s="4"/>
      <c r="E2" s="4"/>
      <c r="F2" s="4"/>
      <c r="G2" s="4"/>
      <c r="H2" s="5" t="s">
        <v>108</v>
      </c>
      <c r="I2" s="5"/>
      <c r="J2" s="5"/>
      <c r="K2" s="5"/>
      <c r="L2" s="5"/>
      <c r="M2" s="5"/>
      <c r="N2" s="5"/>
      <c r="O2" s="5"/>
      <c r="P2" s="5"/>
      <c r="Q2" s="5"/>
      <c r="R2" s="3"/>
    </row>
    <row r="3" spans="1:18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18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18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</sheetData>
  <mergeCells count="2">
    <mergeCell ref="A2:G2"/>
    <mergeCell ref="H2:Q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757A1-6F4A-4B23-9149-5B54B13CF543}">
  <sheetPr codeName="Feuil8"/>
  <dimension ref="A1:AB17"/>
  <sheetViews>
    <sheetView workbookViewId="0">
      <selection activeCell="AA20" sqref="AA20"/>
    </sheetView>
  </sheetViews>
  <sheetFormatPr baseColWidth="10" defaultRowHeight="14.4" x14ac:dyDescent="0.3"/>
  <cols>
    <col min="1" max="1" width="46.21875" customWidth="1"/>
    <col min="2" max="3" width="11.88671875" customWidth="1"/>
    <col min="6" max="6" width="11.44140625" customWidth="1"/>
    <col min="13" max="14" width="15.6640625" customWidth="1"/>
    <col min="16" max="16" width="17" customWidth="1"/>
    <col min="17" max="17" width="12.88671875" customWidth="1"/>
    <col min="18" max="18" width="13.21875" customWidth="1"/>
    <col min="19" max="19" width="15.88671875" customWidth="1"/>
    <col min="20" max="20" width="13.21875" customWidth="1"/>
    <col min="21" max="21" width="19.5546875" bestFit="1" customWidth="1"/>
    <col min="22" max="22" width="13.88671875" bestFit="1" customWidth="1"/>
    <col min="23" max="23" width="19.5546875" bestFit="1" customWidth="1"/>
    <col min="24" max="24" width="18" bestFit="1" customWidth="1"/>
    <col min="25" max="25" width="19.5546875" bestFit="1" customWidth="1"/>
    <col min="26" max="26" width="16.44140625" bestFit="1" customWidth="1"/>
    <col min="27" max="27" width="19.5546875" bestFit="1" customWidth="1"/>
    <col min="28" max="28" width="23.21875" bestFit="1" customWidth="1"/>
    <col min="29" max="32" width="10.33203125" bestFit="1" customWidth="1"/>
  </cols>
  <sheetData>
    <row r="1" spans="1:28" x14ac:dyDescent="0.3">
      <c r="A1" s="8" t="s">
        <v>122</v>
      </c>
      <c r="B1" s="9"/>
      <c r="C1" s="12"/>
      <c r="D1" s="14" t="s">
        <v>123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21" t="s">
        <v>124</v>
      </c>
      <c r="R1" s="21"/>
      <c r="S1" s="21"/>
      <c r="T1" s="21"/>
      <c r="U1" s="30" t="s">
        <v>125</v>
      </c>
      <c r="V1" s="30"/>
      <c r="W1" s="30"/>
      <c r="X1" s="30"/>
      <c r="Y1" s="30"/>
      <c r="Z1" s="30"/>
      <c r="AA1" s="30"/>
      <c r="AB1" s="30"/>
    </row>
    <row r="2" spans="1:28" x14ac:dyDescent="0.3">
      <c r="A2" s="9"/>
      <c r="B2" s="9"/>
      <c r="C2" s="12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21"/>
      <c r="R2" s="21"/>
      <c r="S2" s="21"/>
      <c r="T2" s="21"/>
      <c r="U2" s="30"/>
      <c r="V2" s="30"/>
      <c r="W2" s="30"/>
      <c r="X2" s="30"/>
      <c r="Y2" s="30"/>
      <c r="Z2" s="30"/>
      <c r="AA2" s="30"/>
      <c r="AB2" s="30"/>
    </row>
    <row r="3" spans="1:28" x14ac:dyDescent="0.3">
      <c r="A3" s="9"/>
      <c r="B3" s="9"/>
      <c r="C3" s="12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21"/>
      <c r="R3" s="21"/>
      <c r="S3" s="21"/>
      <c r="T3" s="21"/>
      <c r="U3" s="30"/>
      <c r="V3" s="30"/>
      <c r="W3" s="30"/>
      <c r="X3" s="30"/>
      <c r="Y3" s="30"/>
      <c r="Z3" s="30"/>
      <c r="AA3" s="30"/>
      <c r="AB3" s="30"/>
    </row>
    <row r="4" spans="1:28" x14ac:dyDescent="0.3">
      <c r="A4" s="9"/>
      <c r="B4" s="9"/>
      <c r="C4" s="12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21"/>
      <c r="R4" s="21"/>
      <c r="S4" s="21"/>
      <c r="T4" s="21"/>
      <c r="U4" s="30"/>
      <c r="V4" s="30"/>
      <c r="W4" s="30"/>
      <c r="X4" s="30"/>
      <c r="Y4" s="30"/>
      <c r="Z4" s="30"/>
      <c r="AA4" s="30"/>
      <c r="AB4" s="30"/>
    </row>
    <row r="5" spans="1:28" ht="15.6" x14ac:dyDescent="0.3">
      <c r="A5" s="10" t="s">
        <v>76</v>
      </c>
      <c r="B5" s="10">
        <v>4</v>
      </c>
      <c r="C5" s="12"/>
      <c r="D5" s="15" t="s">
        <v>83</v>
      </c>
      <c r="E5" s="15" t="s">
        <v>110</v>
      </c>
      <c r="F5" s="16" t="s">
        <v>84</v>
      </c>
      <c r="G5" s="15" t="s">
        <v>85</v>
      </c>
      <c r="H5" s="15" t="s">
        <v>86</v>
      </c>
      <c r="I5" s="15" t="s">
        <v>87</v>
      </c>
      <c r="J5" s="15" t="s">
        <v>88</v>
      </c>
      <c r="K5" s="15" t="s">
        <v>83</v>
      </c>
      <c r="L5" s="15" t="s">
        <v>110</v>
      </c>
      <c r="M5" s="15" t="s">
        <v>23</v>
      </c>
      <c r="N5" s="15" t="s">
        <v>89</v>
      </c>
      <c r="O5" s="15" t="s">
        <v>8</v>
      </c>
      <c r="P5" s="17" t="s">
        <v>97</v>
      </c>
      <c r="Q5" s="22" t="s">
        <v>99</v>
      </c>
      <c r="R5" s="23" t="s">
        <v>100</v>
      </c>
      <c r="S5" s="22" t="s">
        <v>103</v>
      </c>
      <c r="T5" s="23" t="s">
        <v>100</v>
      </c>
      <c r="U5" s="31" t="s">
        <v>117</v>
      </c>
      <c r="V5" s="32" t="s">
        <v>109</v>
      </c>
      <c r="W5" s="31" t="s">
        <v>117</v>
      </c>
      <c r="X5" s="31" t="s">
        <v>118</v>
      </c>
      <c r="Y5" s="31" t="s">
        <v>117</v>
      </c>
      <c r="Z5" s="31" t="s">
        <v>119</v>
      </c>
      <c r="AA5" s="31" t="s">
        <v>117</v>
      </c>
      <c r="AB5" s="31" t="s">
        <v>120</v>
      </c>
    </row>
    <row r="6" spans="1:28" ht="28.8" x14ac:dyDescent="0.3">
      <c r="A6" s="10" t="s">
        <v>77</v>
      </c>
      <c r="B6" s="10">
        <v>1</v>
      </c>
      <c r="C6" s="12"/>
      <c r="D6" s="15">
        <v>2022</v>
      </c>
      <c r="E6" s="18">
        <f>DATE(tblDashboardCA[[#This Row],[Année]],1,1)</f>
        <v>44562</v>
      </c>
      <c r="F6" s="16">
        <v>950</v>
      </c>
      <c r="G6" s="15"/>
      <c r="H6" s="19"/>
      <c r="I6" s="15">
        <v>0</v>
      </c>
      <c r="J6" s="15">
        <v>0</v>
      </c>
      <c r="K6" s="15">
        <v>2022</v>
      </c>
      <c r="L6" s="18">
        <f>DATE(tblCATravaux[[#This Row],[Année]],1,1)</f>
        <v>44562</v>
      </c>
      <c r="M6" s="15" t="s">
        <v>90</v>
      </c>
      <c r="N6" s="15">
        <v>950</v>
      </c>
      <c r="O6" s="15" t="s">
        <v>98</v>
      </c>
      <c r="P6" s="17">
        <v>1</v>
      </c>
      <c r="Q6" s="24" t="s">
        <v>101</v>
      </c>
      <c r="R6" s="25">
        <v>63.636360000000003</v>
      </c>
      <c r="S6" s="24" t="s">
        <v>104</v>
      </c>
      <c r="T6" s="26">
        <v>0.25</v>
      </c>
      <c r="U6" s="33" t="s">
        <v>112</v>
      </c>
      <c r="V6" s="32">
        <v>950</v>
      </c>
      <c r="W6" s="33" t="s">
        <v>113</v>
      </c>
      <c r="X6" s="34">
        <v>321.05263200000002</v>
      </c>
      <c r="Y6" s="33" t="s">
        <v>112</v>
      </c>
      <c r="Z6" s="34">
        <v>0</v>
      </c>
      <c r="AA6" s="33" t="s">
        <v>91</v>
      </c>
      <c r="AB6" s="32">
        <v>7100</v>
      </c>
    </row>
    <row r="7" spans="1:28" ht="15.6" x14ac:dyDescent="0.3">
      <c r="A7" s="10" t="s">
        <v>79</v>
      </c>
      <c r="B7" s="11">
        <v>83.333333332500004</v>
      </c>
      <c r="C7" s="13"/>
      <c r="D7" s="15">
        <v>2023</v>
      </c>
      <c r="E7" s="18">
        <f>DATE(tblDashboardCA[[#This Row],[Année]],1,1)</f>
        <v>44927</v>
      </c>
      <c r="F7" s="16">
        <v>4000</v>
      </c>
      <c r="G7" s="15">
        <v>950</v>
      </c>
      <c r="H7" s="19">
        <v>321.05263200000002</v>
      </c>
      <c r="I7" s="15">
        <v>2400</v>
      </c>
      <c r="J7" s="15">
        <v>60</v>
      </c>
      <c r="K7" s="15">
        <v>2023</v>
      </c>
      <c r="L7" s="18">
        <f>DATE(tblCATravaux[[#This Row],[Année]],1,1)</f>
        <v>44927</v>
      </c>
      <c r="M7" s="15" t="s">
        <v>91</v>
      </c>
      <c r="N7" s="15">
        <v>600</v>
      </c>
      <c r="O7" s="20"/>
      <c r="P7" s="20"/>
      <c r="Q7" s="24" t="s">
        <v>102</v>
      </c>
      <c r="R7" s="25">
        <v>36.363639999999997</v>
      </c>
      <c r="S7" s="24" t="s">
        <v>105</v>
      </c>
      <c r="T7" s="26">
        <v>0.25</v>
      </c>
      <c r="U7" s="33" t="s">
        <v>113</v>
      </c>
      <c r="V7" s="32">
        <v>4000</v>
      </c>
      <c r="W7" s="33" t="s">
        <v>114</v>
      </c>
      <c r="X7" s="34">
        <v>180</v>
      </c>
      <c r="Y7" s="33" t="s">
        <v>113</v>
      </c>
      <c r="Z7" s="34">
        <v>60</v>
      </c>
      <c r="AA7" s="33" t="s">
        <v>92</v>
      </c>
      <c r="AB7" s="32">
        <v>1000</v>
      </c>
    </row>
    <row r="8" spans="1:28" ht="28.8" x14ac:dyDescent="0.3">
      <c r="A8" s="10" t="s">
        <v>78</v>
      </c>
      <c r="B8" s="11">
        <v>85.416662500000001</v>
      </c>
      <c r="C8" s="13"/>
      <c r="D8" s="15">
        <v>2024</v>
      </c>
      <c r="E8" s="18">
        <f>DATE(tblDashboardCA[[#This Row],[Année]],1,1)</f>
        <v>45292</v>
      </c>
      <c r="F8" s="16">
        <v>11200</v>
      </c>
      <c r="G8" s="15">
        <v>4000</v>
      </c>
      <c r="H8" s="19">
        <v>180</v>
      </c>
      <c r="I8" s="15">
        <v>3500</v>
      </c>
      <c r="J8" s="15">
        <v>31.25</v>
      </c>
      <c r="K8" s="15">
        <v>2023</v>
      </c>
      <c r="L8" s="18">
        <f>DATE(tblCATravaux[[#This Row],[Année]],1,1)</f>
        <v>44927</v>
      </c>
      <c r="M8" s="15" t="s">
        <v>92</v>
      </c>
      <c r="N8" s="15">
        <v>1000</v>
      </c>
      <c r="O8" s="20"/>
      <c r="P8" s="20"/>
      <c r="Q8" s="27"/>
      <c r="R8" s="28"/>
      <c r="S8" s="24" t="s">
        <v>106</v>
      </c>
      <c r="T8" s="26">
        <v>0.25</v>
      </c>
      <c r="U8" s="33" t="s">
        <v>114</v>
      </c>
      <c r="V8" s="32">
        <v>11200</v>
      </c>
      <c r="W8" s="33" t="s">
        <v>115</v>
      </c>
      <c r="X8" s="34">
        <v>433.92857099999998</v>
      </c>
      <c r="Y8" s="33" t="s">
        <v>114</v>
      </c>
      <c r="Z8" s="34">
        <v>31.25</v>
      </c>
      <c r="AA8" s="33" t="s">
        <v>93</v>
      </c>
      <c r="AB8" s="32">
        <v>30400</v>
      </c>
    </row>
    <row r="9" spans="1:28" ht="28.8" x14ac:dyDescent="0.3">
      <c r="A9" s="10" t="s">
        <v>80</v>
      </c>
      <c r="B9" s="11">
        <v>63.636360000000003</v>
      </c>
      <c r="C9" s="13"/>
      <c r="D9" s="15">
        <v>2025</v>
      </c>
      <c r="E9" s="18">
        <f>DATE(tblDashboardCA[[#This Row],[Année]],1,1)</f>
        <v>45658</v>
      </c>
      <c r="F9" s="16">
        <v>59800</v>
      </c>
      <c r="G9" s="15">
        <v>11200</v>
      </c>
      <c r="H9" s="19">
        <v>433.92857099999998</v>
      </c>
      <c r="I9" s="15">
        <v>40800</v>
      </c>
      <c r="J9" s="15">
        <v>68.227424999999997</v>
      </c>
      <c r="K9" s="15">
        <v>2023</v>
      </c>
      <c r="L9" s="18">
        <f>DATE(tblCATravaux[[#This Row],[Année]],1,1)</f>
        <v>44927</v>
      </c>
      <c r="M9" s="15" t="s">
        <v>93</v>
      </c>
      <c r="N9" s="15">
        <v>2400</v>
      </c>
      <c r="O9" s="20"/>
      <c r="P9" s="20"/>
      <c r="Q9" s="29"/>
      <c r="R9" s="29"/>
      <c r="S9" s="24" t="s">
        <v>107</v>
      </c>
      <c r="T9" s="26">
        <v>0.25</v>
      </c>
      <c r="U9" s="33" t="s">
        <v>115</v>
      </c>
      <c r="V9" s="32">
        <v>59800</v>
      </c>
      <c r="W9" s="33" t="s">
        <v>116</v>
      </c>
      <c r="X9" s="34">
        <v>-98.494983000000005</v>
      </c>
      <c r="Y9" s="33" t="s">
        <v>115</v>
      </c>
      <c r="Z9" s="34">
        <v>68.227424999999997</v>
      </c>
      <c r="AA9" s="33" t="s">
        <v>94</v>
      </c>
      <c r="AB9" s="32">
        <v>5500</v>
      </c>
    </row>
    <row r="10" spans="1:28" ht="15.6" x14ac:dyDescent="0.3">
      <c r="A10" s="10" t="s">
        <v>81</v>
      </c>
      <c r="B10" s="11">
        <v>3.8181818199999999</v>
      </c>
      <c r="C10" s="13"/>
      <c r="D10" s="15">
        <v>2026</v>
      </c>
      <c r="E10" s="18">
        <f>DATE(tblDashboardCA[[#This Row],[Année]],1,1)</f>
        <v>46023</v>
      </c>
      <c r="F10" s="16">
        <v>900</v>
      </c>
      <c r="G10" s="15">
        <v>59800</v>
      </c>
      <c r="H10" s="19">
        <v>-98.494983000000005</v>
      </c>
      <c r="I10" s="15">
        <v>0</v>
      </c>
      <c r="J10" s="15">
        <v>0</v>
      </c>
      <c r="K10" s="15">
        <v>2024</v>
      </c>
      <c r="L10" s="18">
        <f>DATE(tblCATravaux[[#This Row],[Année]],1,1)</f>
        <v>45292</v>
      </c>
      <c r="M10" s="15" t="s">
        <v>93</v>
      </c>
      <c r="N10" s="15">
        <v>3000</v>
      </c>
      <c r="O10" s="20"/>
      <c r="P10" s="20"/>
      <c r="S10" s="7"/>
      <c r="T10" s="6"/>
      <c r="U10" s="33" t="s">
        <v>116</v>
      </c>
      <c r="V10" s="32">
        <v>900</v>
      </c>
      <c r="W10" s="33" t="s">
        <v>111</v>
      </c>
      <c r="X10" s="34">
        <v>836.48622</v>
      </c>
      <c r="Y10" s="33" t="s">
        <v>116</v>
      </c>
      <c r="Z10" s="34">
        <v>0</v>
      </c>
      <c r="AA10" s="33" t="s">
        <v>95</v>
      </c>
      <c r="AB10" s="32">
        <v>14000</v>
      </c>
    </row>
    <row r="11" spans="1:28" ht="15.6" x14ac:dyDescent="0.3">
      <c r="A11" s="10" t="s">
        <v>82</v>
      </c>
      <c r="B11" s="10">
        <v>3</v>
      </c>
      <c r="C11" s="12"/>
      <c r="D11" s="20"/>
      <c r="E11" s="20"/>
      <c r="F11" s="20"/>
      <c r="G11" s="20"/>
      <c r="H11" s="20"/>
      <c r="I11" s="20"/>
      <c r="J11" s="20"/>
      <c r="K11" s="15">
        <v>2024</v>
      </c>
      <c r="L11" s="18">
        <f>DATE(tblCATravaux[[#This Row],[Année]],1,1)</f>
        <v>45292</v>
      </c>
      <c r="M11" s="15" t="s">
        <v>94</v>
      </c>
      <c r="N11" s="15">
        <v>5500</v>
      </c>
      <c r="O11" s="20"/>
      <c r="P11" s="20"/>
      <c r="S11" s="7"/>
      <c r="T11" s="6"/>
      <c r="U11" s="33" t="s">
        <v>111</v>
      </c>
      <c r="V11" s="32">
        <v>76850</v>
      </c>
      <c r="W11" s="31"/>
      <c r="X11" s="31"/>
      <c r="Y11" s="33" t="s">
        <v>111</v>
      </c>
      <c r="Z11" s="34">
        <v>159.47742500000001</v>
      </c>
      <c r="AA11" s="33" t="s">
        <v>90</v>
      </c>
      <c r="AB11" s="32">
        <v>1850</v>
      </c>
    </row>
    <row r="12" spans="1:28" x14ac:dyDescent="0.3">
      <c r="D12" s="20"/>
      <c r="E12" s="20"/>
      <c r="F12" s="20"/>
      <c r="G12" s="20"/>
      <c r="H12" s="20"/>
      <c r="I12" s="20"/>
      <c r="J12" s="20"/>
      <c r="K12" s="15">
        <v>2024</v>
      </c>
      <c r="L12" s="18">
        <f>DATE(tblCATravaux[[#This Row],[Année]],1,1)</f>
        <v>45292</v>
      </c>
      <c r="M12" s="15" t="s">
        <v>95</v>
      </c>
      <c r="N12" s="15">
        <v>2700</v>
      </c>
      <c r="O12" s="20"/>
      <c r="P12" s="20"/>
      <c r="U12" s="31"/>
      <c r="V12" s="31"/>
      <c r="W12" s="31"/>
      <c r="X12" s="31"/>
      <c r="Y12" s="31"/>
      <c r="Z12" s="31"/>
      <c r="AA12" s="33" t="s">
        <v>96</v>
      </c>
      <c r="AB12" s="32">
        <v>17000</v>
      </c>
    </row>
    <row r="13" spans="1:28" x14ac:dyDescent="0.3">
      <c r="D13" s="20"/>
      <c r="E13" s="20"/>
      <c r="F13" s="20"/>
      <c r="G13" s="20"/>
      <c r="H13" s="20"/>
      <c r="I13" s="20"/>
      <c r="J13" s="20"/>
      <c r="K13" s="15">
        <v>2025</v>
      </c>
      <c r="L13" s="18">
        <f>DATE(tblCATravaux[[#This Row],[Année]],1,1)</f>
        <v>45658</v>
      </c>
      <c r="M13" s="15" t="s">
        <v>91</v>
      </c>
      <c r="N13" s="15">
        <v>6500</v>
      </c>
      <c r="O13" s="20"/>
      <c r="P13" s="20"/>
      <c r="U13" s="31"/>
      <c r="V13" s="31">
        <f>GETPIVOTDATA("[Measures].[Somme de CA]",$U$5)</f>
        <v>76850</v>
      </c>
      <c r="W13" s="31"/>
      <c r="X13" s="31">
        <f>IFERROR(GETPIVOTDATA("[Measures].[Somme de Évolution]",$W$5),0)</f>
        <v>836.48622</v>
      </c>
      <c r="Y13" s="31"/>
      <c r="Z13" s="31">
        <f>GETPIVOTDATA("[Measures].[Somme de Part CA]",$Y$5)</f>
        <v>159.47742500000001</v>
      </c>
      <c r="AA13" s="33" t="s">
        <v>111</v>
      </c>
      <c r="AB13" s="32">
        <v>76850</v>
      </c>
    </row>
    <row r="14" spans="1:28" x14ac:dyDescent="0.3">
      <c r="D14" s="20"/>
      <c r="E14" s="20"/>
      <c r="F14" s="20"/>
      <c r="G14" s="20"/>
      <c r="H14" s="20"/>
      <c r="I14" s="20"/>
      <c r="J14" s="20"/>
      <c r="K14" s="15">
        <v>2025</v>
      </c>
      <c r="L14" s="18">
        <f>DATE(tblCATravaux[[#This Row],[Année]],1,1)</f>
        <v>45658</v>
      </c>
      <c r="M14" s="15" t="s">
        <v>93</v>
      </c>
      <c r="N14" s="15">
        <v>25000</v>
      </c>
      <c r="O14" s="20"/>
      <c r="P14" s="20"/>
    </row>
    <row r="15" spans="1:28" x14ac:dyDescent="0.3">
      <c r="A15" t="s">
        <v>121</v>
      </c>
      <c r="D15" s="20"/>
      <c r="E15" s="20"/>
      <c r="F15" s="20"/>
      <c r="G15" s="20"/>
      <c r="H15" s="20"/>
      <c r="I15" s="20"/>
      <c r="J15" s="20"/>
      <c r="K15" s="15">
        <v>2025</v>
      </c>
      <c r="L15" s="18">
        <f>DATE(tblCATravaux[[#This Row],[Année]],1,1)</f>
        <v>45658</v>
      </c>
      <c r="M15" s="15" t="s">
        <v>95</v>
      </c>
      <c r="N15" s="15">
        <v>11300</v>
      </c>
      <c r="O15" s="20"/>
      <c r="P15" s="20"/>
    </row>
    <row r="16" spans="1:28" x14ac:dyDescent="0.3">
      <c r="D16" s="20"/>
      <c r="E16" s="20"/>
      <c r="F16" s="20"/>
      <c r="G16" s="20"/>
      <c r="H16" s="20"/>
      <c r="I16" s="20"/>
      <c r="J16" s="20"/>
      <c r="K16" s="15">
        <v>2025</v>
      </c>
      <c r="L16" s="18">
        <f>DATE(tblCATravaux[[#This Row],[Année]],1,1)</f>
        <v>45658</v>
      </c>
      <c r="M16" s="15" t="s">
        <v>96</v>
      </c>
      <c r="N16" s="15">
        <v>17000</v>
      </c>
      <c r="O16" s="20"/>
      <c r="P16" s="20"/>
    </row>
    <row r="17" spans="4:16" x14ac:dyDescent="0.3">
      <c r="D17" s="20"/>
      <c r="E17" s="20"/>
      <c r="F17" s="20"/>
      <c r="G17" s="20"/>
      <c r="H17" s="20"/>
      <c r="I17" s="20"/>
      <c r="J17" s="20"/>
      <c r="K17" s="15">
        <v>2026</v>
      </c>
      <c r="L17" s="18">
        <f>DATE(tblCATravaux[[#This Row],[Année]],1,1)</f>
        <v>46023</v>
      </c>
      <c r="M17" s="15" t="s">
        <v>90</v>
      </c>
      <c r="N17" s="15">
        <v>900</v>
      </c>
      <c r="O17" s="20"/>
      <c r="P17" s="20"/>
    </row>
  </sheetData>
  <mergeCells count="4">
    <mergeCell ref="A1:B4"/>
    <mergeCell ref="D1:P4"/>
    <mergeCell ref="Q1:T4"/>
    <mergeCell ref="U1:AB4"/>
  </mergeCells>
  <pageMargins left="0.7" right="0.7" top="0.75" bottom="0.75" header="0.3" footer="0.3"/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Menu</vt:lpstr>
      <vt:lpstr>Artisan</vt:lpstr>
      <vt:lpstr>Fournisseur</vt:lpstr>
      <vt:lpstr>Client</vt:lpstr>
      <vt:lpstr>Commandes</vt:lpstr>
      <vt:lpstr>stock</vt:lpstr>
      <vt:lpstr>Tableau de bord</vt:lpstr>
      <vt:lpstr>Calcul &amp; TCD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Divine Kenfack</dc:creator>
  <cp:lastModifiedBy>Divine Kenfack</cp:lastModifiedBy>
  <dcterms:created xsi:type="dcterms:W3CDTF">2026-09-21T14:18:51Z</dcterms:created>
  <dcterms:modified xsi:type="dcterms:W3CDTF">2026-10-08T08:47:51Z</dcterms:modified>
</cp:coreProperties>
</file>